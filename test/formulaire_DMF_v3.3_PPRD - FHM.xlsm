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2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G4F401N\Desktop\"/>
    </mc:Choice>
  </mc:AlternateContent>
  <bookViews>
    <workbookView xWindow="7290" yWindow="-225" windowWidth="11940" windowHeight="5505"/>
  </bookViews>
  <sheets>
    <sheet name="Formulaire" sheetId="1" r:id="rId1"/>
    <sheet name="PARAM" sheetId="2" state="hidden" r:id="rId2"/>
    <sheet name="Traitement2" sheetId="3" state="hidden" r:id="rId3"/>
    <sheet name="Aide-FAQ" sheetId="4" r:id="rId4"/>
    <sheet name="TempDMF" sheetId="5" state="hidden" r:id="rId5"/>
  </sheets>
  <functionGroups builtInGroupCount="18"/>
  <definedNames>
    <definedName name="Format_Date">PARAM!$B$53</definedName>
    <definedName name="Format_IP">PARAM!$B$55</definedName>
    <definedName name="Format_Tel">PARAM!$B$54</definedName>
    <definedName name="HauteurLigneCadre2">PARAM!$B$48</definedName>
    <definedName name="LargeurColonneK">PARAM!$B$49</definedName>
    <definedName name="Obligatoire">PARAM!$B$34</definedName>
    <definedName name="Separateurs">PARAM!$B$59</definedName>
    <definedName name="StatutV1">PARAM!$B$14</definedName>
    <definedName name="StatutV2">PARAM!$B$15</definedName>
    <definedName name="TypCD2">PARAM!$B$16</definedName>
    <definedName name="Type_Flux">Formulaire!$C$15</definedName>
  </definedNames>
  <calcPr calcId="152511"/>
</workbook>
</file>

<file path=xl/calcChain.xml><?xml version="1.0" encoding="utf-8"?>
<calcChain xmlns="http://schemas.openxmlformats.org/spreadsheetml/2006/main">
  <c r="B17" i="1" l="1"/>
  <c r="F16" i="1" l="1"/>
  <c r="D16" i="1"/>
  <c r="E17" i="1"/>
  <c r="I16" i="1"/>
  <c r="H15" i="1"/>
  <c r="E15" i="1"/>
  <c r="B9" i="1"/>
  <c r="C4" i="1"/>
</calcChain>
</file>

<file path=xl/sharedStrings.xml><?xml version="1.0" encoding="utf-8"?>
<sst xmlns="http://schemas.openxmlformats.org/spreadsheetml/2006/main" count="394" uniqueCount="220">
  <si>
    <t>Demande d’Ouverture / Fermeture de Flux</t>
  </si>
  <si>
    <t>1. Renseignements administratifs ( les champs obligatoires sont signalés par * )</t>
  </si>
  <si>
    <t>DAT</t>
  </si>
  <si>
    <t>ESIP</t>
  </si>
  <si>
    <t>VPN d'administration (Hors ESIP)</t>
  </si>
  <si>
    <t>ZSI</t>
  </si>
  <si>
    <t>FED</t>
  </si>
  <si>
    <t>Nom Demandeur*</t>
  </si>
  <si>
    <t>Email Demandeur*</t>
  </si>
  <si>
    <t>Tél Demandeur*</t>
  </si>
  <si>
    <t>Type*</t>
  </si>
  <si>
    <t>Nom valideur*</t>
  </si>
  <si>
    <t>Référence FED*</t>
  </si>
  <si>
    <t>Référence Cartographie flux ZSI*</t>
  </si>
  <si>
    <t>Référence DAT*</t>
  </si>
  <si>
    <t>Type de raccordement*</t>
  </si>
  <si>
    <t>Lien NOTES DAT</t>
  </si>
  <si>
    <t>COMBO_TYPE</t>
  </si>
  <si>
    <t>Référence</t>
  </si>
  <si>
    <t>Type de demande</t>
  </si>
  <si>
    <t>Création</t>
  </si>
  <si>
    <t>Suppression</t>
  </si>
  <si>
    <t>Protocole</t>
  </si>
  <si>
    <t>TCP</t>
  </si>
  <si>
    <t>UDP</t>
  </si>
  <si>
    <t>ICMP</t>
  </si>
  <si>
    <t>Type de document :</t>
  </si>
  <si>
    <t>Demande de modification de filtrage</t>
  </si>
  <si>
    <t xml:space="preserve">Version mise à jour le : </t>
  </si>
  <si>
    <t>Version:</t>
  </si>
  <si>
    <t>Gestion des champs</t>
  </si>
  <si>
    <t>Obligatoire non renseigné</t>
  </si>
  <si>
    <t>ChampNormal</t>
  </si>
  <si>
    <t>Date</t>
  </si>
  <si>
    <t>Date de validation en CAT-E*</t>
  </si>
  <si>
    <t>Date de validation*</t>
  </si>
  <si>
    <t>Date de validation du Dossier ZSI</t>
  </si>
  <si>
    <t>Date de fin de dérogation*</t>
  </si>
  <si>
    <t>{aucun}</t>
  </si>
  <si>
    <t>Ignorer</t>
  </si>
  <si>
    <t>2. Description des flux ( les champs obligatoires sont signalés par *)</t>
  </si>
  <si>
    <t>Type de demande*</t>
  </si>
  <si>
    <t>Nom Host destination*</t>
  </si>
  <si>
    <t>IP Host destination*</t>
  </si>
  <si>
    <t>Commentaire</t>
  </si>
  <si>
    <t>Date en Première colonne</t>
  </si>
  <si>
    <t>Numéro de l'affaire ESIP</t>
  </si>
  <si>
    <t>Nom du profil VPN*</t>
  </si>
  <si>
    <t xml:space="preserve"> </t>
  </si>
  <si>
    <t>Référence  du raccordement*</t>
  </si>
  <si>
    <t>Légende H15</t>
  </si>
  <si>
    <t>Etude Sécurité</t>
  </si>
  <si>
    <t>Combo_RACCORDEMENT</t>
  </si>
  <si>
    <t>VPN-site</t>
  </si>
  <si>
    <t>VPN-individuel</t>
  </si>
  <si>
    <t>Groupe WAN</t>
  </si>
  <si>
    <t>HauteurLigneCadre2</t>
  </si>
  <si>
    <t>LargeurColonneK</t>
  </si>
  <si>
    <t>DATA</t>
  </si>
  <si>
    <t>FORMAT</t>
  </si>
  <si>
    <t>DATE</t>
  </si>
  <si>
    <t>TEL</t>
  </si>
  <si>
    <t>IP</t>
  </si>
  <si>
    <t>00 00 00 00 00</t>
  </si>
  <si>
    <t>000.000.000.000</t>
  </si>
  <si>
    <t>SEPARATEURS</t>
  </si>
  <si>
    <t>./ :-</t>
  </si>
  <si>
    <t>REPERAGE DES FILTRES</t>
  </si>
  <si>
    <t>firewall</t>
  </si>
  <si>
    <t>filtre</t>
  </si>
  <si>
    <t>objet source</t>
  </si>
  <si>
    <t xml:space="preserve">objet destination </t>
  </si>
  <si>
    <t>service</t>
  </si>
  <si>
    <t>commentaires</t>
  </si>
  <si>
    <t>Validation Cadre 1</t>
  </si>
  <si>
    <t>Validation Cadre 2</t>
  </si>
  <si>
    <t>Nom du Profil VPN*</t>
  </si>
  <si>
    <t>Boutons de validation</t>
  </si>
  <si>
    <t>Si ces boutons ne produisent aucun effet, assurez-vous que vous avez bien validé la saisie du dernier champ avec un retour chariot ou en cliquant sur une autre cellule</t>
  </si>
  <si>
    <t xml:space="preserve">Contrôle du format de certains champs </t>
  </si>
  <si>
    <t>Les champs concernés sont de type DATE, Adresse IP , n° de téléphone</t>
  </si>
  <si>
    <t>Contôle du Port de destination</t>
  </si>
  <si>
    <t>Le Port de destination n'est vérifié qu'au contôle final.</t>
  </si>
  <si>
    <t>Le cadre 1 s'adapte au Type de la demande</t>
  </si>
  <si>
    <t>Pour DAT</t>
  </si>
  <si>
    <t>Projet/Application*</t>
  </si>
  <si>
    <t>Nom du Demandeur*</t>
  </si>
  <si>
    <t>Email du Demandeur*</t>
  </si>
  <si>
    <t>Tél du Demandeur*</t>
  </si>
  <si>
    <t>Type* DAT</t>
  </si>
  <si>
    <t>Référence du DAT*</t>
  </si>
  <si>
    <t>Pour ESIP</t>
  </si>
  <si>
    <t>Type* ESIP</t>
  </si>
  <si>
    <t>Référence du raccordement*</t>
  </si>
  <si>
    <t>Numéro de l’affaire ESIP</t>
  </si>
  <si>
    <t>Pour VPN d'administration (Hors ESIP)</t>
  </si>
  <si>
    <t>Type* VPN d'administration (Hors ESIP)</t>
  </si>
  <si>
    <t>Pour Dossier ZSI</t>
  </si>
  <si>
    <t>Type* Dossier ZSI</t>
  </si>
  <si>
    <t>Référence de la Cartographie des flux ZSI*</t>
  </si>
  <si>
    <t>Pour FED</t>
  </si>
  <si>
    <t>Type* FED</t>
  </si>
  <si>
    <t>Pour Etude de Sécurité</t>
  </si>
  <si>
    <t>Type* Etude de Sécurité</t>
  </si>
  <si>
    <t>2. Description des flux ( les champs obligatoires sont signalés par * )</t>
  </si>
  <si>
    <t xml:space="preserve">Profil VPN d’Administration hors ESIP  + ESIP (uniquement profil VPN individuel) </t>
  </si>
  <si>
    <t xml:space="preserve">Protocole* </t>
  </si>
  <si>
    <t xml:space="preserve">Port Destination* </t>
  </si>
  <si>
    <t xml:space="preserve">N° Flux </t>
  </si>
  <si>
    <t>Nom Host source*</t>
  </si>
  <si>
    <t>IP Host source*</t>
  </si>
  <si>
    <t>La structure du cadre 2 est fonction du TYPE</t>
  </si>
  <si>
    <t xml:space="preserve">Configuration du Cadre 2  :   </t>
  </si>
  <si>
    <t>Configuration du Cadre 1 :</t>
  </si>
  <si>
    <t>Traitement2</t>
  </si>
  <si>
    <t>ONGLET    Traitement2</t>
  </si>
  <si>
    <t>ONGLET  Formulaire</t>
  </si>
  <si>
    <t>Bouton  Generation Traitement 2</t>
  </si>
  <si>
    <t>La macro collecte les informations de l'onglet Formulaire</t>
  </si>
  <si>
    <t>Une synthèse est faite et regroupe tous les services  par opération, IP Source, IP destination.</t>
  </si>
  <si>
    <t>Le contrôle  est déclenché par l'un des 2 boutons de validation pour le Cadre1 et le Cadre2</t>
  </si>
  <si>
    <t>Le contrôle  a pour objectif de garantir que les données saisies sont conformes.</t>
  </si>
  <si>
    <t>Lorsque l'information saisie est conforme, cette information est affichée avec le format standard</t>
  </si>
  <si>
    <t>Si une erreur est détectée, la couleur de fond du champ de saisie devient rouge.</t>
  </si>
  <si>
    <t>Le contrôle utilise une fonction d'excel afin d'éliminer ces erreurs, après validation ces dates seront rejetées.</t>
  </si>
  <si>
    <t>- le port est un nombre compris entre 1 et 65535</t>
  </si>
  <si>
    <t xml:space="preserve">Lien NOTES DAT* </t>
  </si>
  <si>
    <t>Notation d'une adresse IPv6</t>
  </si>
  <si>
    <t xml:space="preserve">    2001:0db8:0000:85a3:0000:0000:ac1f:8001</t>
  </si>
  <si>
    <t xml:space="preserve">    2001:db8:0:85a3:0:0:ac1f:8001</t>
  </si>
  <si>
    <t xml:space="preserve">    2001:db8:0:85a3::ac1f:8001</t>
  </si>
  <si>
    <t xml:space="preserve">    2001:db8::85a3::ac1f:8001</t>
  </si>
  <si>
    <t>Notation d'une adresse IPv4</t>
  </si>
  <si>
    <t>La notation décimale pointée employée pour les adresses IPv4 (par exemple 172.31.128.1) est abandonnée au profit d'une écriture hexadécimale, où les 8 groupes de 2 octets (soit 16 bits par groupe) sont séparés par un signe deux-points :</t>
  </si>
  <si>
    <t>La notation complète ci-dessus comprend exactement 39 caractères.</t>
  </si>
  <si>
    <t>Il est permis d'omettre de 1 à  3 chiffres zéros non significatifs dans chaque groupe de 4 chiffres hexadécimaux. Ainsi, l'adresse IPv6 ci-dessus est équivalente à  :</t>
  </si>
  <si>
    <t>De plus, une unique suite de un ou plusieurs groupes consécutifs de 16 bits tous nuls peut être omise, en conservant toutefois les signes deux-points de chaque côté de la suite de chiffres omise, c'est-à -dire une paire de deux-points (::)1. Ainsi, l'adresse IPv6 ci-dessus peut être abrégée en :</t>
  </si>
  <si>
    <t>En revanche l'écriture suivante n'est pas valide</t>
  </si>
  <si>
    <t>car elle contient plusieurs substitutions (dont les longueurs binaires respectives sont ici ambigues) : il ne peut exister qu'une seule occurrence de la séquence :: dans la notation d'une adresse IPv6.</t>
  </si>
  <si>
    <t>Pour résumer, la séquence :: dans l'adresse IPv6 signifie que l'on doit combler tout ce qu'il manque avec des 0, donc cette séquence ne peut être utilisée qu'une seule fois.</t>
  </si>
  <si>
    <t>Il peut exister plusieurs façons différentes de représenter une adresse IPv6. La RFC 5952 définit une représentation canonique.</t>
  </si>
  <si>
    <t>L'adresse IPv6 non spécifiée peut ainsi être abrégée en ::0.0.0.0 ou tout simplement en :: .</t>
  </si>
  <si>
    <t>Une adresse IPv4 est représentée sous la forme de quatre nombres décimaux séparés par des points comme 193.43.55.67.
 Chacun des nombres représente un octet. 
La plage d'attribution s'étend de 0.0.0.0 à  255.255.255.255, sachant qu'il existe des contraintes empèchant l'utilisation de certaines adresses (réservée, masque, broadcast, etc.).</t>
  </si>
  <si>
    <t>IP Host Source</t>
  </si>
  <si>
    <t>Il est possible de saisir  :</t>
  </si>
  <si>
    <t>-  des adresses IPV4 ou IPV6</t>
  </si>
  <si>
    <t>- des plages IP   ip1-ip2   avec ip2&gt;ip1</t>
  </si>
  <si>
    <t>IP Host Destination</t>
  </si>
  <si>
    <t>Date Validation par Mail*</t>
  </si>
  <si>
    <t>ComboBoxDateValidation</t>
  </si>
  <si>
    <t xml:space="preserve">   </t>
  </si>
  <si>
    <t>Date Fin de dérogation*</t>
  </si>
  <si>
    <t xml:space="preserve">Date Validation Dossier ZSI  </t>
  </si>
  <si>
    <t>Date Validation par Mail*  (YYYY-MM-DD)</t>
  </si>
  <si>
    <t>(YYYY-MM-DD)</t>
  </si>
  <si>
    <t>0000/00/00</t>
  </si>
  <si>
    <t>N° Flux*</t>
  </si>
  <si>
    <t>Si le Projet oul'application n'est pas connu, utiliser la mention NNA  acronyme de "numéro national d’application" </t>
  </si>
  <si>
    <t>item 2</t>
  </si>
  <si>
    <t>item 3</t>
  </si>
  <si>
    <t>Sauf  ESIP et Profils VPN d'Administration hors ESIP</t>
  </si>
  <si>
    <t xml:space="preserve">ESIP (uniquement  VPN site sûr et PA-RIN site sûr) </t>
  </si>
  <si>
    <t xml:space="preserve">DAT,    ZSI,   FED,   Etude de Sécurité </t>
  </si>
  <si>
    <t>ESIP (hors VPN individuel et VPN site sûr et PA-RIN site sûr)</t>
  </si>
  <si>
    <t>VPN</t>
  </si>
  <si>
    <t>SUR</t>
  </si>
  <si>
    <t>DAT&gt; ESIP</t>
  </si>
  <si>
    <t>Type du cadre 2</t>
  </si>
  <si>
    <t>Protocole*</t>
  </si>
  <si>
    <t>Port destination*</t>
  </si>
  <si>
    <t>DATE :En cours de saisie l'exactitude d'une date n'est pas vérifiée</t>
  </si>
  <si>
    <t>- de spécifier un sous-réseau     ( /X avec X de 1 à 32 pour IPV4, de 1 à 128 pour IPV6)</t>
  </si>
  <si>
    <t>EPUB</t>
  </si>
  <si>
    <t>N° Flux</t>
  </si>
  <si>
    <t>groupe AD source ou référence du raccordement*</t>
  </si>
  <si>
    <t>PA-RIN partenaire</t>
  </si>
  <si>
    <t>Liaison spécialisée</t>
  </si>
  <si>
    <t>Date validation en CAT-E* (YYYY-MM-DD)</t>
  </si>
  <si>
    <t xml:space="preserve">Date de passage en CAT-E* </t>
  </si>
  <si>
    <t>Emplacement de stockage de ce groupe dans l'AD*</t>
  </si>
  <si>
    <t>Version 3.3</t>
  </si>
  <si>
    <t>EXEMPLES</t>
  </si>
  <si>
    <t>création</t>
  </si>
  <si>
    <t>Flux 10</t>
  </si>
  <si>
    <t>GF_EPUBFF00007</t>
  </si>
  <si>
    <t>fisher.edf.fr</t>
  </si>
  <si>
    <t>10.120.129.12</t>
  </si>
  <si>
    <t>CN=GF_EPUBFF00007,OU=Groupes,OU=R-UTILISATEURS,DC=atlas,DC=edf,DC=fr</t>
  </si>
  <si>
    <t>Nom destination*</t>
  </si>
  <si>
    <t>IP destination*</t>
  </si>
  <si>
    <t>ADMIN_STIPART</t>
  </si>
  <si>
    <t>10.33.3.18</t>
  </si>
  <si>
    <t>7006</t>
  </si>
  <si>
    <t>sécurisation console Weblogic - port HTTPS</t>
  </si>
  <si>
    <t>7007</t>
  </si>
  <si>
    <t>10.121.98.18</t>
  </si>
  <si>
    <t>C|ADMIN_STIPART                                                                        |10.33.3.18                                |TCP|7006</t>
  </si>
  <si>
    <t>C|ADMIN_STIPART                                                                        |10.33.3.18                                |TCP|7007</t>
  </si>
  <si>
    <t>C|ADMIN_STIPART                                                                        |10.121.98.18                              |TCP|7006</t>
  </si>
  <si>
    <t>C|ADMIN_STIPART                                                                        |10.121.98.18                              |TCP|7007</t>
  </si>
  <si>
    <t>Livrable du 20/06/2017</t>
  </si>
  <si>
    <t>20/06/2017</t>
  </si>
  <si>
    <t>Nom source*</t>
  </si>
  <si>
    <t>IP source*</t>
  </si>
  <si>
    <t>80</t>
  </si>
  <si>
    <t>I51</t>
  </si>
  <si>
    <t>I53</t>
  </si>
  <si>
    <t>flux entre appli et fhm</t>
  </si>
  <si>
    <t>163.113.47.206</t>
  </si>
  <si>
    <t>front.deploisat.pprd.linky.enedis.fr</t>
  </si>
  <si>
    <t>front1.deploisat.pprd.linky.enedis.fr</t>
  </si>
  <si>
    <t>10.35.60.75</t>
  </si>
  <si>
    <t>front2.deploisat.pprd.linky.enedis.fr</t>
  </si>
  <si>
    <t>10.35.60.76</t>
  </si>
  <si>
    <t>10.34.25.136</t>
  </si>
  <si>
    <t>ZEP19FHMNEM/M</t>
  </si>
  <si>
    <t>ZEP19FHMNEM/S</t>
  </si>
  <si>
    <t>10.34.25.44</t>
  </si>
  <si>
    <t>10.34.25.137</t>
  </si>
  <si>
    <t>deploisat.pprd.pdmz.linky.enedis.fr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</si>
</sst>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\.000\.000\.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2"/>
      <color theme="1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002060"/>
      <name val="Arial Black"/>
      <family val="2"/>
    </font>
    <font>
      <sz val="11"/>
      <color rgb="FF000000"/>
      <name val="Calibri"/>
      <family val="2"/>
      <scheme val="minor"/>
    </font>
    <font>
      <sz val="2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8"/>
      <name val="Arial"/>
      <family val="2"/>
    </font>
    <font>
      <b/>
      <sz val="8"/>
      <color rgb="FFFF0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FF0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18">
    <xf numFmtId="0" fontId="0" fillId="0" borderId="0" xfId="0"/>
    <xf numFmtId="0" fontId="1" fillId="0" borderId="0" xfId="0" applyFont="1" applyFill="1" applyBorder="1" applyProtection="1"/>
    <xf numFmtId="0" fontId="1" fillId="0" borderId="1" xfId="0" applyFont="1" applyFill="1" applyBorder="1" applyAlignment="1" applyProtection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0" xfId="0" applyBorder="1"/>
    <xf numFmtId="0" fontId="0" fillId="0" borderId="9" xfId="0" applyBorder="1"/>
    <xf numFmtId="0" fontId="0" fillId="0" borderId="12" xfId="0" applyBorder="1"/>
    <xf numFmtId="0" fontId="0" fillId="0" borderId="14" xfId="0" applyBorder="1"/>
    <xf numFmtId="0" fontId="0" fillId="0" borderId="0" xfId="0" applyFill="1" applyBorder="1"/>
    <xf numFmtId="0" fontId="0" fillId="0" borderId="0" xfId="0" applyFill="1"/>
    <xf numFmtId="0" fontId="0" fillId="0" borderId="2" xfId="0" applyBorder="1"/>
    <xf numFmtId="0" fontId="3" fillId="2" borderId="0" xfId="1" applyFont="1" applyFill="1" applyBorder="1" applyAlignment="1" applyProtection="1">
      <alignment horizontal="left" vertical="top"/>
    </xf>
    <xf numFmtId="14" fontId="0" fillId="0" borderId="0" xfId="0" applyNumberFormat="1"/>
    <xf numFmtId="14" fontId="0" fillId="0" borderId="0" xfId="0" quotePrefix="1" applyNumberFormat="1"/>
    <xf numFmtId="0" fontId="4" fillId="0" borderId="11" xfId="0" applyFont="1" applyBorder="1"/>
    <xf numFmtId="0" fontId="0" fillId="0" borderId="16" xfId="0" applyBorder="1"/>
    <xf numFmtId="0" fontId="8" fillId="0" borderId="2" xfId="0" applyFont="1" applyBorder="1"/>
    <xf numFmtId="0" fontId="4" fillId="0" borderId="2" xfId="0" applyFont="1" applyBorder="1"/>
    <xf numFmtId="14" fontId="0" fillId="0" borderId="9" xfId="0" applyNumberFormat="1" applyBorder="1"/>
    <xf numFmtId="0" fontId="7" fillId="0" borderId="0" xfId="0" applyFont="1"/>
    <xf numFmtId="0" fontId="0" fillId="0" borderId="18" xfId="0" applyBorder="1"/>
    <xf numFmtId="0" fontId="1" fillId="0" borderId="13" xfId="0" applyFont="1" applyFill="1" applyBorder="1" applyProtection="1"/>
    <xf numFmtId="0" fontId="1" fillId="0" borderId="15" xfId="0" applyFont="1" applyFill="1" applyBorder="1" applyProtection="1"/>
    <xf numFmtId="0" fontId="0" fillId="0" borderId="6" xfId="0" applyFill="1" applyBorder="1"/>
    <xf numFmtId="0" fontId="9" fillId="0" borderId="3" xfId="0" applyFont="1" applyBorder="1"/>
    <xf numFmtId="0" fontId="6" fillId="0" borderId="3" xfId="0" applyFont="1" applyBorder="1"/>
    <xf numFmtId="0" fontId="0" fillId="0" borderId="19" xfId="0" applyBorder="1"/>
    <xf numFmtId="0" fontId="4" fillId="0" borderId="7" xfId="0" applyFont="1" applyBorder="1" applyAlignment="1">
      <alignment horizontal="center"/>
    </xf>
    <xf numFmtId="0" fontId="0" fillId="0" borderId="20" xfId="0" applyBorder="1"/>
    <xf numFmtId="0" fontId="9" fillId="0" borderId="16" xfId="0" applyFont="1" applyBorder="1"/>
    <xf numFmtId="0" fontId="0" fillId="6" borderId="0" xfId="0" applyFill="1"/>
    <xf numFmtId="0" fontId="11" fillId="5" borderId="21" xfId="0" applyFont="1" applyFill="1" applyBorder="1" applyAlignment="1">
      <alignment horizontal="center"/>
    </xf>
    <xf numFmtId="0" fontId="0" fillId="0" borderId="0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quotePrefix="1"/>
    <xf numFmtId="0" fontId="0" fillId="4" borderId="0" xfId="0" applyFill="1"/>
    <xf numFmtId="0" fontId="14" fillId="0" borderId="0" xfId="0" applyFont="1" applyFill="1"/>
    <xf numFmtId="0" fontId="13" fillId="0" borderId="0" xfId="0" applyFont="1" applyFill="1"/>
    <xf numFmtId="0" fontId="13" fillId="4" borderId="0" xfId="0" applyFont="1" applyFill="1"/>
    <xf numFmtId="0" fontId="6" fillId="0" borderId="0" xfId="0" applyFont="1" applyFill="1"/>
    <xf numFmtId="0" fontId="0" fillId="0" borderId="0" xfId="0" applyFont="1" applyFill="1"/>
    <xf numFmtId="0" fontId="12" fillId="2" borderId="0" xfId="1" applyFont="1" applyFill="1" applyBorder="1" applyAlignment="1" applyProtection="1">
      <alignment horizontal="left" vertical="top"/>
    </xf>
    <xf numFmtId="0" fontId="12" fillId="2" borderId="0" xfId="0" applyFont="1" applyFill="1" applyBorder="1" applyAlignment="1" applyProtection="1">
      <alignment horizontal="left"/>
    </xf>
    <xf numFmtId="0" fontId="15" fillId="4" borderId="0" xfId="0" applyFont="1" applyFill="1"/>
    <xf numFmtId="0" fontId="16" fillId="2" borderId="13" xfId="0" applyFont="1" applyFill="1" applyBorder="1" applyAlignment="1" applyProtection="1">
      <alignment horizontal="center" vertical="center" wrapText="1"/>
    </xf>
    <xf numFmtId="0" fontId="16" fillId="2" borderId="3" xfId="0" applyFont="1" applyFill="1" applyBorder="1" applyAlignment="1" applyProtection="1">
      <alignment horizontal="center" vertical="center" wrapText="1"/>
    </xf>
    <xf numFmtId="0" fontId="16" fillId="2" borderId="14" xfId="0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left"/>
    </xf>
    <xf numFmtId="0" fontId="6" fillId="4" borderId="0" xfId="0" applyFont="1" applyFill="1"/>
    <xf numFmtId="0" fontId="11" fillId="5" borderId="3" xfId="0" applyFont="1" applyFill="1" applyBorder="1" applyAlignment="1">
      <alignment horizontal="center"/>
    </xf>
    <xf numFmtId="0" fontId="11" fillId="5" borderId="22" xfId="0" applyFont="1" applyFill="1" applyBorder="1" applyAlignment="1">
      <alignment horizontal="center"/>
    </xf>
    <xf numFmtId="0" fontId="0" fillId="0" borderId="3" xfId="0" applyBorder="1" applyAlignment="1">
      <alignment wrapText="1"/>
    </xf>
    <xf numFmtId="0" fontId="0" fillId="0" borderId="3" xfId="0" applyBorder="1" applyAlignment="1" applyProtection="1">
      <alignment wrapText="1"/>
      <protection locked="0"/>
    </xf>
    <xf numFmtId="0" fontId="0" fillId="0" borderId="0" xfId="0" applyBorder="1" applyAlignment="1">
      <alignment horizontal="right"/>
    </xf>
    <xf numFmtId="0" fontId="0" fillId="0" borderId="0" xfId="0" applyAlignment="1">
      <alignment vertical="top"/>
    </xf>
    <xf numFmtId="0" fontId="0" fillId="0" borderId="0" xfId="0" applyBorder="1" applyAlignment="1">
      <alignment vertical="top"/>
    </xf>
    <xf numFmtId="0" fontId="0" fillId="0" borderId="8" xfId="0" applyBorder="1" applyAlignment="1">
      <alignment vertical="top"/>
    </xf>
    <xf numFmtId="0" fontId="1" fillId="0" borderId="0" xfId="0" applyFont="1" applyFill="1" applyBorder="1" applyAlignment="1" applyProtection="1">
      <alignment vertical="top"/>
    </xf>
    <xf numFmtId="0" fontId="9" fillId="0" borderId="3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5" fillId="4" borderId="0" xfId="0" applyFont="1" applyFill="1" applyProtection="1">
      <protection locked="0"/>
    </xf>
    <xf numFmtId="0" fontId="7" fillId="0" borderId="0" xfId="0" applyFont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3" fillId="0" borderId="23" xfId="0" applyFont="1" applyBorder="1" applyAlignment="1">
      <alignment wrapText="1"/>
    </xf>
    <xf numFmtId="0" fontId="13" fillId="0" borderId="24" xfId="0" applyFont="1" applyBorder="1"/>
    <xf numFmtId="0" fontId="0" fillId="0" borderId="25" xfId="0" applyBorder="1"/>
    <xf numFmtId="0" fontId="0" fillId="0" borderId="22" xfId="0" applyBorder="1"/>
    <xf numFmtId="0" fontId="9" fillId="0" borderId="22" xfId="0" applyFont="1" applyBorder="1"/>
    <xf numFmtId="0" fontId="9" fillId="0" borderId="26" xfId="0" applyFont="1" applyBorder="1"/>
    <xf numFmtId="0" fontId="0" fillId="0" borderId="17" xfId="0" applyBorder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7" fillId="0" borderId="27" xfId="0" applyFont="1" applyBorder="1"/>
    <xf numFmtId="0" fontId="16" fillId="2" borderId="0" xfId="0" applyFont="1" applyFill="1" applyBorder="1" applyAlignment="1" applyProtection="1">
      <alignment horizontal="center" vertical="center" wrapText="1"/>
    </xf>
    <xf numFmtId="0" fontId="17" fillId="2" borderId="13" xfId="0" applyFont="1" applyFill="1" applyBorder="1" applyAlignment="1" applyProtection="1">
      <alignment horizontal="center" vertical="center" wrapText="1"/>
    </xf>
    <xf numFmtId="0" fontId="17" fillId="2" borderId="3" xfId="0" applyFont="1" applyFill="1" applyBorder="1" applyAlignment="1" applyProtection="1">
      <alignment horizontal="center" vertical="center" wrapText="1"/>
    </xf>
    <xf numFmtId="0" fontId="17" fillId="2" borderId="14" xfId="0" applyFont="1" applyFill="1" applyBorder="1" applyAlignment="1" applyProtection="1">
      <alignment horizontal="center" vertical="center" wrapText="1"/>
    </xf>
    <xf numFmtId="0" fontId="6" fillId="0" borderId="0" xfId="0" applyFont="1"/>
    <xf numFmtId="0" fontId="17" fillId="2" borderId="0" xfId="0" applyFont="1" applyFill="1" applyBorder="1" applyAlignment="1" applyProtection="1">
      <alignment horizontal="center" vertical="center"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1" xfId="0" applyFill="1" applyBorder="1"/>
    <xf numFmtId="0" fontId="0" fillId="0" borderId="7" xfId="0" applyFill="1" applyBorder="1"/>
    <xf numFmtId="0" fontId="18" fillId="8" borderId="6" xfId="0" applyFont="1" applyFill="1" applyBorder="1" applyAlignment="1">
      <alignment vertical="center" wrapText="1"/>
    </xf>
    <xf numFmtId="0" fontId="18" fillId="8" borderId="10" xfId="0" applyFont="1" applyFill="1" applyBorder="1" applyAlignment="1">
      <alignment vertical="center" wrapText="1"/>
    </xf>
    <xf numFmtId="0" fontId="18" fillId="8" borderId="10" xfId="0" applyFont="1" applyFill="1" applyBorder="1" applyAlignment="1">
      <alignment horizontal="right" vertical="center" wrapText="1"/>
    </xf>
    <xf numFmtId="0" fontId="0" fillId="0" borderId="13" xfId="0" applyBorder="1"/>
    <xf numFmtId="0" fontId="0" fillId="9" borderId="13" xfId="0" applyFill="1" applyBorder="1" applyProtection="1">
      <protection hidden="1"/>
    </xf>
    <xf numFmtId="0" fontId="0" fillId="9" borderId="3" xfId="0" applyFill="1" applyBorder="1" applyProtection="1">
      <protection hidden="1"/>
    </xf>
    <xf numFmtId="164" fontId="0" fillId="9" borderId="3" xfId="0" applyNumberFormat="1" applyFill="1" applyBorder="1" applyAlignment="1" applyProtection="1">
      <alignment wrapText="1"/>
      <protection hidden="1"/>
    </xf>
    <xf numFmtId="0" fontId="0" fillId="9" borderId="3" xfId="0" applyNumberFormat="1" applyFill="1" applyBorder="1" applyProtection="1">
      <protection hidden="1"/>
    </xf>
    <xf numFmtId="49" fontId="0" fillId="9" borderId="3" xfId="0" applyNumberFormat="1" applyFill="1" applyBorder="1" applyProtection="1">
      <protection hidden="1"/>
    </xf>
    <xf numFmtId="0" fontId="0" fillId="7" borderId="14" xfId="0" applyFill="1" applyBorder="1" applyProtection="1">
      <protection hidden="1"/>
    </xf>
    <xf numFmtId="0" fontId="0" fillId="7" borderId="13" xfId="0" applyFill="1" applyBorder="1" applyProtection="1">
      <protection hidden="1"/>
    </xf>
    <xf numFmtId="0" fontId="0" fillId="7" borderId="3" xfId="0" applyFill="1" applyBorder="1" applyProtection="1">
      <protection hidden="1"/>
    </xf>
    <xf numFmtId="164" fontId="0" fillId="7" borderId="3" xfId="0" applyNumberFormat="1" applyFill="1" applyBorder="1" applyAlignment="1" applyProtection="1">
      <alignment wrapText="1"/>
      <protection hidden="1"/>
    </xf>
    <xf numFmtId="0" fontId="0" fillId="7" borderId="3" xfId="0" applyNumberFormat="1" applyFill="1" applyBorder="1" applyProtection="1">
      <protection hidden="1"/>
    </xf>
    <xf numFmtId="49" fontId="0" fillId="7" borderId="3" xfId="0" applyNumberFormat="1" applyFill="1" applyBorder="1" applyProtection="1">
      <protection hidden="1"/>
    </xf>
    <xf numFmtId="0" fontId="0" fillId="7" borderId="15" xfId="0" applyFill="1" applyBorder="1" applyProtection="1">
      <protection hidden="1"/>
    </xf>
    <xf numFmtId="0" fontId="0" fillId="7" borderId="16" xfId="0" applyFill="1" applyBorder="1" applyProtection="1">
      <protection hidden="1"/>
    </xf>
    <xf numFmtId="164" fontId="0" fillId="7" borderId="16" xfId="0" applyNumberFormat="1" applyFill="1" applyBorder="1" applyAlignment="1" applyProtection="1">
      <alignment wrapText="1"/>
      <protection hidden="1"/>
    </xf>
    <xf numFmtId="0" fontId="0" fillId="7" borderId="16" xfId="0" applyNumberFormat="1" applyFill="1" applyBorder="1" applyProtection="1">
      <protection hidden="1"/>
    </xf>
    <xf numFmtId="49" fontId="0" fillId="7" borderId="16" xfId="0" applyNumberFormat="1" applyFill="1" applyBorder="1" applyProtection="1">
      <protection hidden="1"/>
    </xf>
    <xf numFmtId="0" fontId="0" fillId="7" borderId="17" xfId="0" applyFill="1" applyBorder="1" applyProtection="1">
      <protection hidden="1"/>
    </xf>
    <xf numFmtId="0" fontId="10" fillId="6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</cellXfs>
  <cellStyles count="2">
    <cellStyle name="Normal" xfId="0" builtinId="0"/>
    <cellStyle name="Normal_Classeur2V2705 - ++" xfId="1"/>
  </cellStyles>
  <dxfs count="0"/>
  <tableStyles count="0" defaultTableStyle="TableStyleMedium9" defaultPivotStyle="PivotStyleLight16"/>
  <colors>
    <mruColors>
      <color rgb="FFFFFF99"/>
      <color rgb="FF99CCFF"/>
      <color rgb="FF66CCFF"/>
      <color rgb="FF66FFFF"/>
      <color rgb="FF33CC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50.png"/><Relationship Id="rId1" Type="http://schemas.openxmlformats.org/officeDocument/2006/relationships/image" Target="../media/image49.png"/><Relationship Id="rId4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43.emf"/><Relationship Id="rId18" Type="http://schemas.openxmlformats.org/officeDocument/2006/relationships/image" Target="../media/image28.emf"/><Relationship Id="rId26" Type="http://schemas.openxmlformats.org/officeDocument/2006/relationships/image" Target="../media/image20.emf"/><Relationship Id="rId39" Type="http://schemas.openxmlformats.org/officeDocument/2006/relationships/image" Target="../media/image7.emf"/><Relationship Id="rId3" Type="http://schemas.openxmlformats.org/officeDocument/2006/relationships/image" Target="../media/image33.emf"/><Relationship Id="rId21" Type="http://schemas.openxmlformats.org/officeDocument/2006/relationships/image" Target="../media/image25.emf"/><Relationship Id="rId34" Type="http://schemas.openxmlformats.org/officeDocument/2006/relationships/image" Target="../media/image12.emf"/><Relationship Id="rId42" Type="http://schemas.openxmlformats.org/officeDocument/2006/relationships/image" Target="../media/image4.emf"/><Relationship Id="rId7" Type="http://schemas.openxmlformats.org/officeDocument/2006/relationships/image" Target="../media/image37.emf"/><Relationship Id="rId12" Type="http://schemas.openxmlformats.org/officeDocument/2006/relationships/image" Target="../media/image42.emf"/><Relationship Id="rId17" Type="http://schemas.openxmlformats.org/officeDocument/2006/relationships/image" Target="../media/image29.emf"/><Relationship Id="rId25" Type="http://schemas.openxmlformats.org/officeDocument/2006/relationships/image" Target="../media/image21.emf"/><Relationship Id="rId33" Type="http://schemas.openxmlformats.org/officeDocument/2006/relationships/image" Target="../media/image13.emf"/><Relationship Id="rId38" Type="http://schemas.openxmlformats.org/officeDocument/2006/relationships/image" Target="../media/image8.emf"/><Relationship Id="rId46" Type="http://schemas.openxmlformats.org/officeDocument/2006/relationships/image" Target="../media/image1.emf"/><Relationship Id="rId2" Type="http://schemas.openxmlformats.org/officeDocument/2006/relationships/image" Target="../media/image31.emf"/><Relationship Id="rId16" Type="http://schemas.openxmlformats.org/officeDocument/2006/relationships/image" Target="../media/image30.emf"/><Relationship Id="rId20" Type="http://schemas.openxmlformats.org/officeDocument/2006/relationships/image" Target="../media/image26.emf"/><Relationship Id="rId29" Type="http://schemas.openxmlformats.org/officeDocument/2006/relationships/image" Target="../media/image17.emf"/><Relationship Id="rId41" Type="http://schemas.openxmlformats.org/officeDocument/2006/relationships/image" Target="../media/image5.emf"/><Relationship Id="rId1" Type="http://schemas.openxmlformats.org/officeDocument/2006/relationships/image" Target="../media/image32.emf"/><Relationship Id="rId6" Type="http://schemas.openxmlformats.org/officeDocument/2006/relationships/image" Target="../media/image36.emf"/><Relationship Id="rId11" Type="http://schemas.openxmlformats.org/officeDocument/2006/relationships/image" Target="../media/image41.emf"/><Relationship Id="rId24" Type="http://schemas.openxmlformats.org/officeDocument/2006/relationships/image" Target="../media/image22.emf"/><Relationship Id="rId32" Type="http://schemas.openxmlformats.org/officeDocument/2006/relationships/image" Target="../media/image14.emf"/><Relationship Id="rId37" Type="http://schemas.openxmlformats.org/officeDocument/2006/relationships/image" Target="../media/image9.emf"/><Relationship Id="rId40" Type="http://schemas.openxmlformats.org/officeDocument/2006/relationships/image" Target="../media/image6.emf"/><Relationship Id="rId45" Type="http://schemas.openxmlformats.org/officeDocument/2006/relationships/image" Target="../media/image2.emf"/><Relationship Id="rId5" Type="http://schemas.openxmlformats.org/officeDocument/2006/relationships/image" Target="../media/image35.emf"/><Relationship Id="rId15" Type="http://schemas.openxmlformats.org/officeDocument/2006/relationships/image" Target="../media/image45.emf"/><Relationship Id="rId23" Type="http://schemas.openxmlformats.org/officeDocument/2006/relationships/image" Target="../media/image23.emf"/><Relationship Id="rId28" Type="http://schemas.openxmlformats.org/officeDocument/2006/relationships/image" Target="../media/image18.emf"/><Relationship Id="rId36" Type="http://schemas.openxmlformats.org/officeDocument/2006/relationships/image" Target="../media/image10.emf"/><Relationship Id="rId10" Type="http://schemas.openxmlformats.org/officeDocument/2006/relationships/image" Target="../media/image40.emf"/><Relationship Id="rId19" Type="http://schemas.openxmlformats.org/officeDocument/2006/relationships/image" Target="../media/image27.emf"/><Relationship Id="rId31" Type="http://schemas.openxmlformats.org/officeDocument/2006/relationships/image" Target="../media/image15.emf"/><Relationship Id="rId44" Type="http://schemas.openxmlformats.org/officeDocument/2006/relationships/image" Target="../media/image46.emf"/><Relationship Id="rId4" Type="http://schemas.openxmlformats.org/officeDocument/2006/relationships/image" Target="../media/image34.emf"/><Relationship Id="rId9" Type="http://schemas.openxmlformats.org/officeDocument/2006/relationships/image" Target="../media/image39.emf"/><Relationship Id="rId14" Type="http://schemas.openxmlformats.org/officeDocument/2006/relationships/image" Target="../media/image44.emf"/><Relationship Id="rId22" Type="http://schemas.openxmlformats.org/officeDocument/2006/relationships/image" Target="../media/image24.emf"/><Relationship Id="rId27" Type="http://schemas.openxmlformats.org/officeDocument/2006/relationships/image" Target="../media/image19.emf"/><Relationship Id="rId30" Type="http://schemas.openxmlformats.org/officeDocument/2006/relationships/image" Target="../media/image16.emf"/><Relationship Id="rId35" Type="http://schemas.openxmlformats.org/officeDocument/2006/relationships/image" Target="../media/image11.emf"/><Relationship Id="rId43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85725</xdr:rowOff>
    </xdr:from>
    <xdr:to>
      <xdr:col>1</xdr:col>
      <xdr:colOff>1131053</xdr:colOff>
      <xdr:row>3</xdr:row>
      <xdr:rowOff>142875</xdr:rowOff>
    </xdr:to>
    <xdr:pic>
      <xdr:nvPicPr>
        <xdr:cNvPr id="1075" name="Picture 5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5275" y="285750"/>
          <a:ext cx="1016753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6</xdr:row>
          <xdr:rowOff>28575</xdr:rowOff>
        </xdr:from>
        <xdr:to>
          <xdr:col>9</xdr:col>
          <xdr:colOff>1000125</xdr:colOff>
          <xdr:row>7</xdr:row>
          <xdr:rowOff>85725</xdr:rowOff>
        </xdr:to>
        <xdr:sp macro="" textlink="">
          <xdr:nvSpPr>
            <xdr:cNvPr id="1064" name="ValiderCadre1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9525</xdr:rowOff>
        </xdr:from>
        <xdr:to>
          <xdr:col>3</xdr:col>
          <xdr:colOff>1219200</xdr:colOff>
          <xdr:row>9</xdr:row>
          <xdr:rowOff>95250</xdr:rowOff>
        </xdr:to>
        <xdr:sp macro="" textlink="">
          <xdr:nvSpPr>
            <xdr:cNvPr id="1068" name="TextBoxB9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9525</xdr:rowOff>
        </xdr:from>
        <xdr:to>
          <xdr:col>3</xdr:col>
          <xdr:colOff>1228725</xdr:colOff>
          <xdr:row>11</xdr:row>
          <xdr:rowOff>95250</xdr:rowOff>
        </xdr:to>
        <xdr:sp macro="" textlink="">
          <xdr:nvSpPr>
            <xdr:cNvPr id="1078" name="TextBoxB1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9525</xdr:rowOff>
        </xdr:from>
        <xdr:to>
          <xdr:col>7</xdr:col>
          <xdr:colOff>257175</xdr:colOff>
          <xdr:row>12</xdr:row>
          <xdr:rowOff>171450</xdr:rowOff>
        </xdr:to>
        <xdr:sp macro="" textlink="">
          <xdr:nvSpPr>
            <xdr:cNvPr id="1082" name="TextBoxE11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171450</xdr:rowOff>
        </xdr:from>
        <xdr:to>
          <xdr:col>6</xdr:col>
          <xdr:colOff>571500</xdr:colOff>
          <xdr:row>15</xdr:row>
          <xdr:rowOff>76200</xdr:rowOff>
        </xdr:to>
        <xdr:sp macro="" textlink="">
          <xdr:nvSpPr>
            <xdr:cNvPr id="1084" name="TextBoxE15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9</xdr:col>
          <xdr:colOff>638175</xdr:colOff>
          <xdr:row>11</xdr:row>
          <xdr:rowOff>104775</xdr:rowOff>
        </xdr:to>
        <xdr:sp macro="" textlink="">
          <xdr:nvSpPr>
            <xdr:cNvPr id="1085" name="TextBoxH1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9</xdr:col>
          <xdr:colOff>1143000</xdr:colOff>
          <xdr:row>15</xdr:row>
          <xdr:rowOff>114300</xdr:rowOff>
        </xdr:to>
        <xdr:sp macro="" textlink="">
          <xdr:nvSpPr>
            <xdr:cNvPr id="1087" name="TextBoxH15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38100</xdr:rowOff>
        </xdr:from>
        <xdr:to>
          <xdr:col>9</xdr:col>
          <xdr:colOff>1343025</xdr:colOff>
          <xdr:row>3</xdr:row>
          <xdr:rowOff>133350</xdr:rowOff>
        </xdr:to>
        <xdr:sp macro="" textlink="">
          <xdr:nvSpPr>
            <xdr:cNvPr id="1098" name="RAZ_Formulaire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161925</xdr:rowOff>
        </xdr:from>
        <xdr:to>
          <xdr:col>3</xdr:col>
          <xdr:colOff>1266825</xdr:colOff>
          <xdr:row>15</xdr:row>
          <xdr:rowOff>66675</xdr:rowOff>
        </xdr:to>
        <xdr:sp macro="" textlink="">
          <xdr:nvSpPr>
            <xdr:cNvPr id="1108" name="ComboBoxType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16</xdr:row>
          <xdr:rowOff>28575</xdr:rowOff>
        </xdr:from>
        <xdr:to>
          <xdr:col>3</xdr:col>
          <xdr:colOff>1228725</xdr:colOff>
          <xdr:row>16</xdr:row>
          <xdr:rowOff>304800</xdr:rowOff>
        </xdr:to>
        <xdr:sp macro="" textlink="">
          <xdr:nvSpPr>
            <xdr:cNvPr id="1121" name="TextBoxB1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180975</xdr:rowOff>
        </xdr:from>
        <xdr:to>
          <xdr:col>6</xdr:col>
          <xdr:colOff>76200</xdr:colOff>
          <xdr:row>15</xdr:row>
          <xdr:rowOff>85725</xdr:rowOff>
        </xdr:to>
        <xdr:sp macro="" textlink="">
          <xdr:nvSpPr>
            <xdr:cNvPr id="1123" name="ComboBoxRaccordement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38100</xdr:rowOff>
        </xdr:from>
        <xdr:to>
          <xdr:col>5</xdr:col>
          <xdr:colOff>1228725</xdr:colOff>
          <xdr:row>17</xdr:row>
          <xdr:rowOff>0</xdr:rowOff>
        </xdr:to>
        <xdr:sp macro="" textlink="">
          <xdr:nvSpPr>
            <xdr:cNvPr id="1124" name="TextBoxE17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314324</xdr:rowOff>
        </xdr:from>
        <xdr:to>
          <xdr:col>11</xdr:col>
          <xdr:colOff>0</xdr:colOff>
          <xdr:row>25</xdr:row>
          <xdr:rowOff>3174</xdr:rowOff>
        </xdr:to>
        <xdr:sp macro="" textlink="">
          <xdr:nvSpPr>
            <xdr:cNvPr id="1133" name="SupLign25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314324</xdr:rowOff>
        </xdr:from>
        <xdr:to>
          <xdr:col>11</xdr:col>
          <xdr:colOff>0</xdr:colOff>
          <xdr:row>26</xdr:row>
          <xdr:rowOff>3174</xdr:rowOff>
        </xdr:to>
        <xdr:sp macro="" textlink="">
          <xdr:nvSpPr>
            <xdr:cNvPr id="1135" name="SupLign26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314324</xdr:rowOff>
        </xdr:from>
        <xdr:to>
          <xdr:col>11</xdr:col>
          <xdr:colOff>0</xdr:colOff>
          <xdr:row>27</xdr:row>
          <xdr:rowOff>3174</xdr:rowOff>
        </xdr:to>
        <xdr:sp macro="" textlink="">
          <xdr:nvSpPr>
            <xdr:cNvPr id="1136" name="SupLign27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314324</xdr:rowOff>
        </xdr:from>
        <xdr:to>
          <xdr:col>11</xdr:col>
          <xdr:colOff>0</xdr:colOff>
          <xdr:row>28</xdr:row>
          <xdr:rowOff>3174</xdr:rowOff>
        </xdr:to>
        <xdr:sp macro="" textlink="">
          <xdr:nvSpPr>
            <xdr:cNvPr id="1173" name="SupLign28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314324</xdr:rowOff>
        </xdr:from>
        <xdr:to>
          <xdr:col>11</xdr:col>
          <xdr:colOff>0</xdr:colOff>
          <xdr:row>29</xdr:row>
          <xdr:rowOff>3174</xdr:rowOff>
        </xdr:to>
        <xdr:sp macro="" textlink="">
          <xdr:nvSpPr>
            <xdr:cNvPr id="1174" name="SupLign29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314324</xdr:rowOff>
        </xdr:from>
        <xdr:to>
          <xdr:col>11</xdr:col>
          <xdr:colOff>0</xdr:colOff>
          <xdr:row>30</xdr:row>
          <xdr:rowOff>3174</xdr:rowOff>
        </xdr:to>
        <xdr:sp macro="" textlink="">
          <xdr:nvSpPr>
            <xdr:cNvPr id="1175" name="SupLign30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314324</xdr:rowOff>
        </xdr:from>
        <xdr:to>
          <xdr:col>11</xdr:col>
          <xdr:colOff>0</xdr:colOff>
          <xdr:row>31</xdr:row>
          <xdr:rowOff>3174</xdr:rowOff>
        </xdr:to>
        <xdr:sp macro="" textlink="">
          <xdr:nvSpPr>
            <xdr:cNvPr id="1176" name="SupLign31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314324</xdr:rowOff>
        </xdr:from>
        <xdr:to>
          <xdr:col>11</xdr:col>
          <xdr:colOff>0</xdr:colOff>
          <xdr:row>32</xdr:row>
          <xdr:rowOff>3174</xdr:rowOff>
        </xdr:to>
        <xdr:sp macro="" textlink="">
          <xdr:nvSpPr>
            <xdr:cNvPr id="1177" name="SupLign32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314324</xdr:rowOff>
        </xdr:from>
        <xdr:to>
          <xdr:col>11</xdr:col>
          <xdr:colOff>0</xdr:colOff>
          <xdr:row>33</xdr:row>
          <xdr:rowOff>3174</xdr:rowOff>
        </xdr:to>
        <xdr:sp macro="" textlink="">
          <xdr:nvSpPr>
            <xdr:cNvPr id="1178" name="SupLign33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314324</xdr:rowOff>
        </xdr:from>
        <xdr:to>
          <xdr:col>11</xdr:col>
          <xdr:colOff>0</xdr:colOff>
          <xdr:row>34</xdr:row>
          <xdr:rowOff>3174</xdr:rowOff>
        </xdr:to>
        <xdr:sp macro="" textlink="">
          <xdr:nvSpPr>
            <xdr:cNvPr id="1180" name="SupLign34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314324</xdr:rowOff>
        </xdr:from>
        <xdr:to>
          <xdr:col>11</xdr:col>
          <xdr:colOff>0</xdr:colOff>
          <xdr:row>35</xdr:row>
          <xdr:rowOff>3174</xdr:rowOff>
        </xdr:to>
        <xdr:sp macro="" textlink="">
          <xdr:nvSpPr>
            <xdr:cNvPr id="1181" name="SupLign35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314324</xdr:rowOff>
        </xdr:from>
        <xdr:to>
          <xdr:col>11</xdr:col>
          <xdr:colOff>0</xdr:colOff>
          <xdr:row>36</xdr:row>
          <xdr:rowOff>3174</xdr:rowOff>
        </xdr:to>
        <xdr:sp macro="" textlink="">
          <xdr:nvSpPr>
            <xdr:cNvPr id="1182" name="SupLign36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314324</xdr:rowOff>
        </xdr:from>
        <xdr:to>
          <xdr:col>11</xdr:col>
          <xdr:colOff>0</xdr:colOff>
          <xdr:row>37</xdr:row>
          <xdr:rowOff>3174</xdr:rowOff>
        </xdr:to>
        <xdr:sp macro="" textlink="">
          <xdr:nvSpPr>
            <xdr:cNvPr id="1183" name="SupLign37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314324</xdr:rowOff>
        </xdr:from>
        <xdr:to>
          <xdr:col>11</xdr:col>
          <xdr:colOff>0</xdr:colOff>
          <xdr:row>38</xdr:row>
          <xdr:rowOff>3174</xdr:rowOff>
        </xdr:to>
        <xdr:sp macro="" textlink="">
          <xdr:nvSpPr>
            <xdr:cNvPr id="1184" name="SupLign38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314324</xdr:rowOff>
        </xdr:from>
        <xdr:to>
          <xdr:col>11</xdr:col>
          <xdr:colOff>0</xdr:colOff>
          <xdr:row>39</xdr:row>
          <xdr:rowOff>3174</xdr:rowOff>
        </xdr:to>
        <xdr:sp macro="" textlink="">
          <xdr:nvSpPr>
            <xdr:cNvPr id="1185" name="SupLign39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314324</xdr:rowOff>
        </xdr:from>
        <xdr:to>
          <xdr:col>11</xdr:col>
          <xdr:colOff>0</xdr:colOff>
          <xdr:row>40</xdr:row>
          <xdr:rowOff>3174</xdr:rowOff>
        </xdr:to>
        <xdr:sp macro="" textlink="">
          <xdr:nvSpPr>
            <xdr:cNvPr id="1186" name="SupLign40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314324</xdr:rowOff>
        </xdr:from>
        <xdr:to>
          <xdr:col>11</xdr:col>
          <xdr:colOff>0</xdr:colOff>
          <xdr:row>41</xdr:row>
          <xdr:rowOff>3174</xdr:rowOff>
        </xdr:to>
        <xdr:sp macro="" textlink="">
          <xdr:nvSpPr>
            <xdr:cNvPr id="1187" name="SupLign41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314324</xdr:rowOff>
        </xdr:from>
        <xdr:to>
          <xdr:col>11</xdr:col>
          <xdr:colOff>0</xdr:colOff>
          <xdr:row>42</xdr:row>
          <xdr:rowOff>3174</xdr:rowOff>
        </xdr:to>
        <xdr:sp macro="" textlink="">
          <xdr:nvSpPr>
            <xdr:cNvPr id="1188" name="SupLign42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314324</xdr:rowOff>
        </xdr:from>
        <xdr:to>
          <xdr:col>11</xdr:col>
          <xdr:colOff>0</xdr:colOff>
          <xdr:row>43</xdr:row>
          <xdr:rowOff>3174</xdr:rowOff>
        </xdr:to>
        <xdr:sp macro="" textlink="">
          <xdr:nvSpPr>
            <xdr:cNvPr id="1189" name="SupLign43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314324</xdr:rowOff>
        </xdr:from>
        <xdr:to>
          <xdr:col>11</xdr:col>
          <xdr:colOff>0</xdr:colOff>
          <xdr:row>44</xdr:row>
          <xdr:rowOff>3174</xdr:rowOff>
        </xdr:to>
        <xdr:sp macro="" textlink="">
          <xdr:nvSpPr>
            <xdr:cNvPr id="1190" name="SupLign44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314324</xdr:rowOff>
        </xdr:from>
        <xdr:to>
          <xdr:col>11</xdr:col>
          <xdr:colOff>0</xdr:colOff>
          <xdr:row>45</xdr:row>
          <xdr:rowOff>3174</xdr:rowOff>
        </xdr:to>
        <xdr:sp macro="" textlink="">
          <xdr:nvSpPr>
            <xdr:cNvPr id="1191" name="SupLign45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314324</xdr:rowOff>
        </xdr:from>
        <xdr:to>
          <xdr:col>11</xdr:col>
          <xdr:colOff>0</xdr:colOff>
          <xdr:row>46</xdr:row>
          <xdr:rowOff>3174</xdr:rowOff>
        </xdr:to>
        <xdr:sp macro="" textlink="">
          <xdr:nvSpPr>
            <xdr:cNvPr id="1192" name="SupLign46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314324</xdr:rowOff>
        </xdr:from>
        <xdr:to>
          <xdr:col>11</xdr:col>
          <xdr:colOff>0</xdr:colOff>
          <xdr:row>47</xdr:row>
          <xdr:rowOff>3174</xdr:rowOff>
        </xdr:to>
        <xdr:sp macro="" textlink="">
          <xdr:nvSpPr>
            <xdr:cNvPr id="1193" name="SupLign47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314324</xdr:rowOff>
        </xdr:from>
        <xdr:to>
          <xdr:col>11</xdr:col>
          <xdr:colOff>0</xdr:colOff>
          <xdr:row>48</xdr:row>
          <xdr:rowOff>3174</xdr:rowOff>
        </xdr:to>
        <xdr:sp macro="" textlink="">
          <xdr:nvSpPr>
            <xdr:cNvPr id="1194" name="SupLign48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314324</xdr:rowOff>
        </xdr:from>
        <xdr:to>
          <xdr:col>11</xdr:col>
          <xdr:colOff>0</xdr:colOff>
          <xdr:row>49</xdr:row>
          <xdr:rowOff>3174</xdr:rowOff>
        </xdr:to>
        <xdr:sp macro="" textlink="">
          <xdr:nvSpPr>
            <xdr:cNvPr id="1195" name="SupLign49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314324</xdr:rowOff>
        </xdr:from>
        <xdr:to>
          <xdr:col>11</xdr:col>
          <xdr:colOff>0</xdr:colOff>
          <xdr:row>50</xdr:row>
          <xdr:rowOff>3174</xdr:rowOff>
        </xdr:to>
        <xdr:sp macro="" textlink="">
          <xdr:nvSpPr>
            <xdr:cNvPr id="1196" name="SupLign50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49</xdr:row>
          <xdr:rowOff>314324</xdr:rowOff>
        </xdr:from>
        <xdr:to>
          <xdr:col>11</xdr:col>
          <xdr:colOff>0</xdr:colOff>
          <xdr:row>51</xdr:row>
          <xdr:rowOff>3174</xdr:rowOff>
        </xdr:to>
        <xdr:sp macro="" textlink="">
          <xdr:nvSpPr>
            <xdr:cNvPr id="1197" name="SupLign51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</xdr:row>
          <xdr:rowOff>314324</xdr:rowOff>
        </xdr:from>
        <xdr:to>
          <xdr:col>11</xdr:col>
          <xdr:colOff>0</xdr:colOff>
          <xdr:row>52</xdr:row>
          <xdr:rowOff>3174</xdr:rowOff>
        </xdr:to>
        <xdr:sp macro="" textlink="">
          <xdr:nvSpPr>
            <xdr:cNvPr id="1198" name="SupLign52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51</xdr:row>
          <xdr:rowOff>314324</xdr:rowOff>
        </xdr:from>
        <xdr:to>
          <xdr:col>11</xdr:col>
          <xdr:colOff>0</xdr:colOff>
          <xdr:row>53</xdr:row>
          <xdr:rowOff>3174</xdr:rowOff>
        </xdr:to>
        <xdr:sp macro="" textlink="">
          <xdr:nvSpPr>
            <xdr:cNvPr id="1199" name="SupLign53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52</xdr:row>
          <xdr:rowOff>314324</xdr:rowOff>
        </xdr:from>
        <xdr:to>
          <xdr:col>11</xdr:col>
          <xdr:colOff>0</xdr:colOff>
          <xdr:row>54</xdr:row>
          <xdr:rowOff>3174</xdr:rowOff>
        </xdr:to>
        <xdr:sp macro="" textlink="">
          <xdr:nvSpPr>
            <xdr:cNvPr id="1200" name="SupLign54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20</xdr:row>
          <xdr:rowOff>50800</xdr:rowOff>
        </xdr:from>
        <xdr:to>
          <xdr:col>9</xdr:col>
          <xdr:colOff>981075</xdr:colOff>
          <xdr:row>21</xdr:row>
          <xdr:rowOff>41275</xdr:rowOff>
        </xdr:to>
        <xdr:sp macro="" textlink="">
          <xdr:nvSpPr>
            <xdr:cNvPr id="1214" name="ValiderCadre2" hidden="1">
              <a:extLst>
                <a:ext uri="{63B3BB69-23CF-44E3-9099-C40C66FF867C}">
                  <a14:compatExt spid="_x0000_s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28575</xdr:rowOff>
        </xdr:from>
        <xdr:to>
          <xdr:col>9</xdr:col>
          <xdr:colOff>247650</xdr:colOff>
          <xdr:row>2</xdr:row>
          <xdr:rowOff>19050</xdr:rowOff>
        </xdr:to>
        <xdr:sp macro="" textlink="">
          <xdr:nvSpPr>
            <xdr:cNvPr id="1279" name="Label1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47625</xdr:rowOff>
        </xdr:from>
        <xdr:to>
          <xdr:col>8</xdr:col>
          <xdr:colOff>76200</xdr:colOff>
          <xdr:row>17</xdr:row>
          <xdr:rowOff>9525</xdr:rowOff>
        </xdr:to>
        <xdr:sp macro="" textlink="">
          <xdr:nvSpPr>
            <xdr:cNvPr id="1282" name="ComboBoxDateValidation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28575</xdr:rowOff>
        </xdr:from>
        <xdr:to>
          <xdr:col>9</xdr:col>
          <xdr:colOff>1133475</xdr:colOff>
          <xdr:row>16</xdr:row>
          <xdr:rowOff>304800</xdr:rowOff>
        </xdr:to>
        <xdr:sp macro="" textlink="">
          <xdr:nvSpPr>
            <xdr:cNvPr id="1283" name="TextBoxH17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838200</xdr:colOff>
      <xdr:row>2</xdr:row>
      <xdr:rowOff>9525</xdr:rowOff>
    </xdr:to>
    <xdr:pic>
      <xdr:nvPicPr>
        <xdr:cNvPr id="205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838200" cy="3905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895350</xdr:colOff>
      <xdr:row>1</xdr:row>
      <xdr:rowOff>180975</xdr:rowOff>
    </xdr:to>
    <xdr:pic>
      <xdr:nvPicPr>
        <xdr:cNvPr id="205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895350" cy="37147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1016753</xdr:colOff>
      <xdr:row>38</xdr:row>
      <xdr:rowOff>133350</xdr:rowOff>
    </xdr:to>
    <xdr:pic>
      <xdr:nvPicPr>
        <xdr:cNvPr id="4" name="Picture 5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952625" y="7105650"/>
          <a:ext cx="1016753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895350</xdr:colOff>
      <xdr:row>1</xdr:row>
      <xdr:rowOff>180975</xdr:rowOff>
    </xdr:to>
    <xdr:pic>
      <xdr:nvPicPr>
        <xdr:cNvPr id="2055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895350" cy="37147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</xdr:colOff>
      <xdr:row>38</xdr:row>
      <xdr:rowOff>9525</xdr:rowOff>
    </xdr:from>
    <xdr:to>
      <xdr:col>1</xdr:col>
      <xdr:colOff>923925</xdr:colOff>
      <xdr:row>39</xdr:row>
      <xdr:rowOff>66675</xdr:rowOff>
    </xdr:to>
    <xdr:pic>
      <xdr:nvPicPr>
        <xdr:cNvPr id="2056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981200" y="7705725"/>
          <a:ext cx="895350" cy="3714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9525</xdr:rowOff>
        </xdr:from>
        <xdr:to>
          <xdr:col>1</xdr:col>
          <xdr:colOff>1076325</xdr:colOff>
          <xdr:row>36</xdr:row>
          <xdr:rowOff>190500</xdr:rowOff>
        </xdr:to>
        <xdr:sp macro="" textlink="">
          <xdr:nvSpPr>
            <xdr:cNvPr id="2049" name="TextBoxObligatoireVid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85725</xdr:rowOff>
        </xdr:from>
        <xdr:to>
          <xdr:col>5</xdr:col>
          <xdr:colOff>1866900</xdr:colOff>
          <xdr:row>0</xdr:row>
          <xdr:rowOff>409575</xdr:rowOff>
        </xdr:to>
        <xdr:sp macro="" textlink="">
          <xdr:nvSpPr>
            <xdr:cNvPr id="3073" name="GenerTraitement2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87" Type="http://schemas.openxmlformats.org/officeDocument/2006/relationships/image" Target="../media/image42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93" Type="http://schemas.openxmlformats.org/officeDocument/2006/relationships/image" Target="../media/image45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image" Target="../media/image4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ontrol" Target="../activeX/activeX4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8.emf"/><Relationship Id="rId4" Type="http://schemas.openxmlformats.org/officeDocument/2006/relationships/control" Target="../activeX/activeX4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2.emf"/><Relationship Id="rId4" Type="http://schemas.openxmlformats.org/officeDocument/2006/relationships/control" Target="../activeX/activeX4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54"/>
  <sheetViews>
    <sheetView showGridLines="0" tabSelected="1" topLeftCell="A7" zoomScaleNormal="100" workbookViewId="0">
      <selection activeCell="B25" sqref="B25:J54"/>
    </sheetView>
  </sheetViews>
  <sheetFormatPr baseColWidth="10" defaultRowHeight="15" x14ac:dyDescent="0.25"/>
  <cols>
    <col min="1" max="1" width="1" customWidth="1"/>
    <col min="2" max="2" width="20.7109375" customWidth="1"/>
    <col min="3" max="3" width="18.5703125" customWidth="1"/>
    <col min="4" max="4" width="27.42578125" customWidth="1"/>
    <col min="5" max="5" width="30" customWidth="1"/>
    <col min="6" max="6" width="18.7109375" customWidth="1"/>
    <col min="7" max="7" width="16.7109375" customWidth="1"/>
    <col min="8" max="8" width="27.140625" customWidth="1"/>
    <col min="9" max="9" width="7.7109375" customWidth="1"/>
    <col min="10" max="10" width="28.7109375" customWidth="1"/>
    <col min="11" max="11" width="10.7109375" customWidth="1"/>
    <col min="12" max="12" width="27.42578125" customWidth="1"/>
    <col min="13" max="13" width="17.42578125" customWidth="1"/>
  </cols>
  <sheetData>
    <row r="1" spans="2:12" ht="15.75" thickBot="1" x14ac:dyDescent="0.3"/>
    <row r="2" spans="2:12" ht="15.75" x14ac:dyDescent="0.25">
      <c r="B2" s="18"/>
      <c r="C2" s="25" t="s">
        <v>26</v>
      </c>
      <c r="D2" s="10"/>
      <c r="E2" s="22" t="s">
        <v>27</v>
      </c>
      <c r="F2" s="10"/>
      <c r="G2" s="10"/>
      <c r="H2" s="10"/>
      <c r="I2" s="7"/>
      <c r="J2" s="35"/>
    </row>
    <row r="3" spans="2:12" x14ac:dyDescent="0.25">
      <c r="B3" s="11"/>
      <c r="C3" s="11"/>
      <c r="D3" s="12"/>
      <c r="E3" s="12"/>
      <c r="F3" s="12"/>
      <c r="G3" s="12"/>
      <c r="H3" s="12"/>
      <c r="I3" s="8"/>
      <c r="J3" s="8"/>
    </row>
    <row r="4" spans="2:12" ht="15.75" thickBot="1" x14ac:dyDescent="0.3">
      <c r="B4" s="13"/>
      <c r="C4" s="26" t="str">
        <f xml:space="preserve">  "Ce document est la propriété de DSP-IT. Version mise à jour le " &amp; PARAM!$B$1</f>
        <v>Ce document est la propriété de DSP-IT. Version mise à jour le 20/06/2017</v>
      </c>
      <c r="D4" s="14"/>
      <c r="E4" s="14"/>
      <c r="F4" s="14"/>
      <c r="G4" s="14"/>
      <c r="H4" s="14"/>
      <c r="I4" s="9"/>
      <c r="J4" s="9"/>
    </row>
    <row r="5" spans="2:12" ht="20.25" x14ac:dyDescent="0.25">
      <c r="D5" s="19" t="s">
        <v>0</v>
      </c>
    </row>
    <row r="6" spans="2:12" ht="9.75" customHeight="1" thickBot="1" x14ac:dyDescent="0.3">
      <c r="L6" s="20"/>
    </row>
    <row r="7" spans="2:12" ht="19.5" x14ac:dyDescent="0.4">
      <c r="B7" s="24" t="s">
        <v>1</v>
      </c>
      <c r="C7" s="10"/>
      <c r="D7" s="10"/>
      <c r="E7" s="10"/>
      <c r="F7" s="10"/>
      <c r="G7" s="10"/>
      <c r="H7" s="10"/>
      <c r="I7" s="10"/>
      <c r="J7" s="7"/>
    </row>
    <row r="8" spans="2:12" ht="9.75" customHeight="1" x14ac:dyDescent="0.25">
      <c r="B8" s="11"/>
      <c r="C8" s="12"/>
      <c r="D8" s="12"/>
      <c r="E8" s="12"/>
      <c r="F8" s="12"/>
      <c r="G8" s="12"/>
      <c r="H8" s="12"/>
      <c r="I8" s="12"/>
      <c r="J8" s="8"/>
    </row>
    <row r="9" spans="2:12" x14ac:dyDescent="0.25">
      <c r="B9" s="11" t="str">
        <f>IF(C15="ESIP","Projet/Application*","Projet/Application*")</f>
        <v>Projet/Application*</v>
      </c>
      <c r="C9" s="12"/>
      <c r="D9" s="12"/>
      <c r="E9" s="12"/>
      <c r="F9" s="12"/>
      <c r="G9" s="12"/>
      <c r="H9" s="12"/>
      <c r="I9" s="12"/>
      <c r="J9" s="8"/>
    </row>
    <row r="10" spans="2:12" ht="12" customHeight="1" x14ac:dyDescent="0.25">
      <c r="B10" s="11"/>
      <c r="C10" s="12"/>
      <c r="D10" s="12"/>
      <c r="E10" s="12"/>
      <c r="F10" s="12"/>
      <c r="G10" s="12"/>
      <c r="H10" s="12"/>
      <c r="I10" s="12"/>
      <c r="J10" s="8"/>
    </row>
    <row r="11" spans="2:12" x14ac:dyDescent="0.25">
      <c r="B11" s="11" t="s">
        <v>7</v>
      </c>
      <c r="C11" s="12"/>
      <c r="D11" s="12"/>
      <c r="E11" s="12" t="s">
        <v>8</v>
      </c>
      <c r="F11" s="12"/>
      <c r="G11" s="12"/>
      <c r="H11" s="61" t="s">
        <v>9</v>
      </c>
      <c r="I11" s="12"/>
      <c r="J11" s="8"/>
    </row>
    <row r="12" spans="2:12" x14ac:dyDescent="0.25">
      <c r="B12" s="11"/>
      <c r="C12" s="12"/>
      <c r="D12" s="12"/>
      <c r="E12" s="12"/>
      <c r="F12" s="12"/>
      <c r="G12" s="12"/>
      <c r="H12" s="12"/>
      <c r="I12" s="12"/>
      <c r="J12" s="8"/>
    </row>
    <row r="13" spans="2:12" x14ac:dyDescent="0.25">
      <c r="B13" s="11"/>
      <c r="C13" s="12"/>
      <c r="D13" s="12"/>
      <c r="E13" s="12"/>
      <c r="F13" s="12"/>
      <c r="G13" s="12"/>
      <c r="H13" s="12"/>
      <c r="I13" s="12"/>
      <c r="J13" s="8"/>
    </row>
    <row r="14" spans="2:12" x14ac:dyDescent="0.25">
      <c r="B14" s="11"/>
      <c r="C14" s="12"/>
      <c r="D14" s="12"/>
      <c r="E14" s="12"/>
      <c r="F14" s="12"/>
      <c r="G14" s="12"/>
      <c r="H14" s="12"/>
      <c r="I14" s="12"/>
      <c r="J14" s="8"/>
      <c r="L14" s="1"/>
    </row>
    <row r="15" spans="2:12" ht="14.25" customHeight="1" x14ac:dyDescent="0.25">
      <c r="B15" s="2" t="s">
        <v>10</v>
      </c>
      <c r="C15" s="40" t="s">
        <v>2</v>
      </c>
      <c r="D15" s="12"/>
      <c r="E15" s="12" t="str">
        <f>IF((Type_Flux)=""," ",INDEX(PARAM!C5:C11,MATCH(Type_Flux,PARAM!A5:A11,0),1))</f>
        <v>Référence DAT*</v>
      </c>
      <c r="F15" s="12"/>
      <c r="G15" s="12"/>
      <c r="H15" s="61" t="str">
        <f>IF((Type_Flux)=""," ",INDEX(PARAM!E5:E11,MATCH(Type_Flux,PARAM!A5:A11,0),1))</f>
        <v xml:space="preserve">Lien NOTES DAT* </v>
      </c>
      <c r="I15" s="12"/>
      <c r="J15" s="8"/>
      <c r="L15" s="1"/>
    </row>
    <row r="16" spans="2:12" ht="25.5" customHeight="1" x14ac:dyDescent="0.25">
      <c r="B16" s="11"/>
      <c r="C16" s="12"/>
      <c r="D16" s="12" t="str">
        <f>IF((Type_Flux)=""," ",INDEX(PARAM!G5:G11,MATCH(Type_Flux,PARAM!A5:A11,0),1))</f>
        <v xml:space="preserve">   </v>
      </c>
      <c r="E16" s="12"/>
      <c r="F16" s="12" t="str">
        <f>IF((MID(C15,1,3)="VPN"),"(YYYY/MM/DD)"," ")</f>
        <v xml:space="preserve"> </v>
      </c>
      <c r="G16" s="12"/>
      <c r="H16" s="12"/>
      <c r="I16" s="12" t="str">
        <f>IF((Type_Flux)=""," ",INDEX(PARAM!F5:F11,MATCH(Type_Flux,PARAM!A5:A11,0),1))</f>
        <v>(YYYY-MM-DD)</v>
      </c>
      <c r="J16" s="8"/>
      <c r="L16" s="1"/>
    </row>
    <row r="17" spans="1:12" s="62" customFormat="1" ht="24.75" customHeight="1" x14ac:dyDescent="0.25">
      <c r="B17" s="81" t="str">
        <f>IF((Type_Flux)=""," ",INDEX(PARAM!B5:B11,MATCH(Type_Flux,PARAM!A5:A11,0),1))</f>
        <v xml:space="preserve">   </v>
      </c>
      <c r="C17" s="63"/>
      <c r="D17" s="63"/>
      <c r="E17" s="82" t="str">
        <f>IF((MID(C15,1,3)="VPN"),"Date Validation en CAT-E*"," ")</f>
        <v xml:space="preserve"> </v>
      </c>
      <c r="F17" s="63"/>
      <c r="G17" s="63"/>
      <c r="H17" s="63"/>
      <c r="I17" s="63"/>
      <c r="J17" s="64"/>
      <c r="L17" s="65"/>
    </row>
    <row r="18" spans="1:12" ht="14.25" customHeight="1" x14ac:dyDescent="0.25">
      <c r="B18" s="11"/>
      <c r="C18" s="12"/>
      <c r="D18" s="12"/>
      <c r="E18" s="12"/>
      <c r="F18" s="12"/>
      <c r="G18" s="12"/>
      <c r="H18" s="12"/>
      <c r="I18" s="12"/>
      <c r="J18" s="8"/>
      <c r="L18" s="1"/>
    </row>
    <row r="19" spans="1:12" ht="14.25" customHeight="1" thickBot="1" x14ac:dyDescent="0.3">
      <c r="B19" s="13"/>
      <c r="C19" s="14"/>
      <c r="D19" s="14"/>
      <c r="E19" s="14"/>
      <c r="F19" s="14"/>
      <c r="G19" s="14"/>
      <c r="H19" s="14"/>
      <c r="I19" s="14"/>
      <c r="J19" s="9"/>
      <c r="L19" s="1"/>
    </row>
    <row r="20" spans="1:12" ht="24.95" customHeight="1" thickBot="1" x14ac:dyDescent="0.3">
      <c r="A20" s="17"/>
      <c r="B20" s="16"/>
      <c r="C20" s="16"/>
      <c r="D20" s="16"/>
      <c r="E20" s="16"/>
      <c r="F20" s="16"/>
      <c r="G20" s="16"/>
      <c r="H20" s="16"/>
      <c r="I20" s="16"/>
      <c r="J20" s="16"/>
      <c r="K20" s="17"/>
    </row>
    <row r="21" spans="1:12" ht="24.95" customHeight="1" x14ac:dyDescent="0.4">
      <c r="B21" s="24" t="s">
        <v>40</v>
      </c>
      <c r="C21" s="92"/>
      <c r="D21" s="92"/>
      <c r="E21" s="92"/>
      <c r="F21" s="92"/>
      <c r="G21" s="92"/>
      <c r="H21" s="92"/>
      <c r="I21" s="92"/>
      <c r="J21" s="93"/>
    </row>
    <row r="22" spans="1:12" ht="24.95" customHeight="1" x14ac:dyDescent="0.25">
      <c r="B22" s="11"/>
      <c r="C22" s="12"/>
      <c r="D22" s="12"/>
      <c r="E22" s="12"/>
      <c r="F22" s="12"/>
      <c r="G22" s="12"/>
      <c r="H22" s="12"/>
      <c r="I22" s="12"/>
      <c r="J22" s="8"/>
    </row>
    <row r="23" spans="1:12" ht="24.95" customHeight="1" x14ac:dyDescent="0.25">
      <c r="B23" s="90" t="s">
        <v>41</v>
      </c>
      <c r="C23" s="59" t="s">
        <v>202</v>
      </c>
      <c r="D23" s="59" t="s">
        <v>203</v>
      </c>
      <c r="E23" s="59" t="s">
        <v>188</v>
      </c>
      <c r="F23" s="59" t="s">
        <v>189</v>
      </c>
      <c r="G23" s="59" t="s">
        <v>168</v>
      </c>
      <c r="H23" s="59" t="s">
        <v>169</v>
      </c>
      <c r="I23" s="59" t="s">
        <v>156</v>
      </c>
      <c r="J23" s="91" t="s">
        <v>44</v>
      </c>
    </row>
    <row r="24" spans="1:12" ht="24.95" hidden="1" customHeight="1" x14ac:dyDescent="0.25">
      <c r="B24" s="97"/>
      <c r="C24" s="3"/>
      <c r="D24" s="3"/>
      <c r="E24" s="3"/>
      <c r="F24" s="3"/>
      <c r="G24" s="3"/>
      <c r="H24" s="3"/>
      <c r="I24" s="3"/>
      <c r="J24" s="15"/>
    </row>
    <row r="25" spans="1:12" ht="24.95" customHeight="1" x14ac:dyDescent="0.25">
      <c r="B25" s="98" t="s">
        <v>20</v>
      </c>
      <c r="C25" s="99" t="s">
        <v>215</v>
      </c>
      <c r="D25" s="100" t="s">
        <v>214</v>
      </c>
      <c r="E25" s="101" t="s">
        <v>209</v>
      </c>
      <c r="F25" s="100" t="s">
        <v>208</v>
      </c>
      <c r="G25" s="99" t="s">
        <v>23</v>
      </c>
      <c r="H25" s="102" t="s">
        <v>204</v>
      </c>
      <c r="I25" s="99" t="s">
        <v>205</v>
      </c>
      <c r="J25" s="103" t="s">
        <v>207</v>
      </c>
    </row>
    <row r="26" spans="1:12" ht="24.95" customHeight="1" x14ac:dyDescent="0.25">
      <c r="B26" s="98" t="s">
        <v>20</v>
      </c>
      <c r="C26" s="101" t="s">
        <v>209</v>
      </c>
      <c r="D26" s="100" t="s">
        <v>208</v>
      </c>
      <c r="E26" s="99" t="s">
        <v>215</v>
      </c>
      <c r="F26" s="100" t="s">
        <v>214</v>
      </c>
      <c r="G26" s="99" t="s">
        <v>23</v>
      </c>
      <c r="H26" s="102" t="s">
        <v>204</v>
      </c>
      <c r="I26" s="99" t="s">
        <v>205</v>
      </c>
      <c r="J26" s="103" t="s">
        <v>207</v>
      </c>
    </row>
    <row r="27" spans="1:12" ht="24.95" customHeight="1" x14ac:dyDescent="0.25">
      <c r="B27" s="98" t="s">
        <v>20</v>
      </c>
      <c r="C27" s="99" t="s">
        <v>216</v>
      </c>
      <c r="D27" s="100" t="s">
        <v>218</v>
      </c>
      <c r="E27" s="101" t="s">
        <v>209</v>
      </c>
      <c r="F27" s="100" t="s">
        <v>208</v>
      </c>
      <c r="G27" s="99" t="s">
        <v>23</v>
      </c>
      <c r="H27" s="102" t="s">
        <v>204</v>
      </c>
      <c r="I27" s="99" t="s">
        <v>205</v>
      </c>
      <c r="J27" s="103" t="s">
        <v>207</v>
      </c>
    </row>
    <row r="28" spans="1:12" ht="24.95" customHeight="1" x14ac:dyDescent="0.25">
      <c r="B28" s="98" t="s">
        <v>20</v>
      </c>
      <c r="C28" s="101" t="s">
        <v>209</v>
      </c>
      <c r="D28" s="100" t="s">
        <v>208</v>
      </c>
      <c r="E28" s="99" t="s">
        <v>216</v>
      </c>
      <c r="F28" s="100" t="s">
        <v>218</v>
      </c>
      <c r="G28" s="99" t="s">
        <v>23</v>
      </c>
      <c r="H28" s="102" t="s">
        <v>204</v>
      </c>
      <c r="I28" s="99" t="s">
        <v>205</v>
      </c>
      <c r="J28" s="103" t="s">
        <v>207</v>
      </c>
    </row>
    <row r="29" spans="1:12" ht="24.95" customHeight="1" x14ac:dyDescent="0.25">
      <c r="B29" s="98" t="s">
        <v>20</v>
      </c>
      <c r="C29" s="99" t="s">
        <v>219</v>
      </c>
      <c r="D29" s="100" t="s">
        <v>217</v>
      </c>
      <c r="E29" s="101" t="s">
        <v>210</v>
      </c>
      <c r="F29" s="100" t="s">
        <v>211</v>
      </c>
      <c r="G29" s="99" t="s">
        <v>23</v>
      </c>
      <c r="H29" s="102" t="s">
        <v>204</v>
      </c>
      <c r="I29" s="99" t="s">
        <v>206</v>
      </c>
      <c r="J29" s="103" t="s">
        <v>207</v>
      </c>
    </row>
    <row r="30" spans="1:12" ht="24.95" customHeight="1" x14ac:dyDescent="0.25">
      <c r="B30" s="98" t="s">
        <v>20</v>
      </c>
      <c r="C30" s="101" t="s">
        <v>210</v>
      </c>
      <c r="D30" s="100" t="s">
        <v>211</v>
      </c>
      <c r="E30" s="99" t="s">
        <v>219</v>
      </c>
      <c r="F30" s="100" t="s">
        <v>217</v>
      </c>
      <c r="G30" s="99" t="s">
        <v>23</v>
      </c>
      <c r="H30" s="102" t="s">
        <v>204</v>
      </c>
      <c r="I30" s="99" t="s">
        <v>206</v>
      </c>
      <c r="J30" s="103" t="s">
        <v>207</v>
      </c>
    </row>
    <row r="31" spans="1:12" ht="24.95" customHeight="1" x14ac:dyDescent="0.25">
      <c r="B31" s="98" t="s">
        <v>20</v>
      </c>
      <c r="C31" s="99" t="s">
        <v>219</v>
      </c>
      <c r="D31" s="100" t="s">
        <v>217</v>
      </c>
      <c r="E31" s="101" t="s">
        <v>212</v>
      </c>
      <c r="F31" s="100" t="s">
        <v>213</v>
      </c>
      <c r="G31" s="99" t="s">
        <v>23</v>
      </c>
      <c r="H31" s="102" t="s">
        <v>204</v>
      </c>
      <c r="I31" s="99" t="s">
        <v>206</v>
      </c>
      <c r="J31" s="103" t="s">
        <v>207</v>
      </c>
    </row>
    <row r="32" spans="1:12" ht="24.95" customHeight="1" x14ac:dyDescent="0.25">
      <c r="B32" s="98" t="s">
        <v>20</v>
      </c>
      <c r="C32" s="101" t="s">
        <v>212</v>
      </c>
      <c r="D32" s="100" t="s">
        <v>213</v>
      </c>
      <c r="E32" s="99" t="s">
        <v>219</v>
      </c>
      <c r="F32" s="100" t="s">
        <v>217</v>
      </c>
      <c r="G32" s="99" t="s">
        <v>23</v>
      </c>
      <c r="H32" s="102" t="s">
        <v>204</v>
      </c>
      <c r="I32" s="99" t="s">
        <v>206</v>
      </c>
      <c r="J32" s="103" t="s">
        <v>207</v>
      </c>
    </row>
    <row r="33" spans="2:10" ht="24.95" customHeight="1" x14ac:dyDescent="0.25">
      <c r="B33" s="104"/>
      <c r="C33" s="105"/>
      <c r="D33" s="106"/>
      <c r="E33" s="107"/>
      <c r="F33" s="106"/>
      <c r="G33" s="105"/>
      <c r="H33" s="108"/>
      <c r="I33" s="105"/>
      <c r="J33" s="103"/>
    </row>
    <row r="34" spans="2:10" ht="24.95" customHeight="1" x14ac:dyDescent="0.25">
      <c r="B34" s="104"/>
      <c r="C34" s="105"/>
      <c r="D34" s="106"/>
      <c r="E34" s="107"/>
      <c r="F34" s="106"/>
      <c r="G34" s="105"/>
      <c r="H34" s="108"/>
      <c r="I34" s="105"/>
      <c r="J34" s="103"/>
    </row>
    <row r="35" spans="2:10" ht="24.95" customHeight="1" x14ac:dyDescent="0.25">
      <c r="B35" s="104"/>
      <c r="C35" s="105"/>
      <c r="D35" s="106"/>
      <c r="E35" s="107"/>
      <c r="F35" s="106"/>
      <c r="G35" s="105"/>
      <c r="H35" s="108"/>
      <c r="I35" s="105"/>
      <c r="J35" s="103"/>
    </row>
    <row r="36" spans="2:10" ht="24.95" customHeight="1" x14ac:dyDescent="0.25">
      <c r="B36" s="104"/>
      <c r="C36" s="105"/>
      <c r="D36" s="106"/>
      <c r="E36" s="107"/>
      <c r="F36" s="106"/>
      <c r="G36" s="105"/>
      <c r="H36" s="108"/>
      <c r="I36" s="105"/>
      <c r="J36" s="103"/>
    </row>
    <row r="37" spans="2:10" ht="24.95" customHeight="1" x14ac:dyDescent="0.25">
      <c r="B37" s="104"/>
      <c r="C37" s="105"/>
      <c r="D37" s="106"/>
      <c r="E37" s="107"/>
      <c r="F37" s="106"/>
      <c r="G37" s="105"/>
      <c r="H37" s="108"/>
      <c r="I37" s="105"/>
      <c r="J37" s="103"/>
    </row>
    <row r="38" spans="2:10" ht="24.95" customHeight="1" x14ac:dyDescent="0.25">
      <c r="B38" s="104"/>
      <c r="C38" s="105"/>
      <c r="D38" s="106"/>
      <c r="E38" s="107"/>
      <c r="F38" s="106"/>
      <c r="G38" s="105"/>
      <c r="H38" s="108"/>
      <c r="I38" s="105"/>
      <c r="J38" s="103"/>
    </row>
    <row r="39" spans="2:10" ht="24.95" customHeight="1" x14ac:dyDescent="0.25">
      <c r="B39" s="104"/>
      <c r="C39" s="105"/>
      <c r="D39" s="106"/>
      <c r="E39" s="107"/>
      <c r="F39" s="106"/>
      <c r="G39" s="105"/>
      <c r="H39" s="108"/>
      <c r="I39" s="105"/>
      <c r="J39" s="103"/>
    </row>
    <row r="40" spans="2:10" ht="24.95" customHeight="1" x14ac:dyDescent="0.25">
      <c r="B40" s="104"/>
      <c r="C40" s="105"/>
      <c r="D40" s="106"/>
      <c r="E40" s="107"/>
      <c r="F40" s="106"/>
      <c r="G40" s="105"/>
      <c r="H40" s="108"/>
      <c r="I40" s="105"/>
      <c r="J40" s="103"/>
    </row>
    <row r="41" spans="2:10" ht="24.95" customHeight="1" x14ac:dyDescent="0.25">
      <c r="B41" s="104"/>
      <c r="C41" s="105"/>
      <c r="D41" s="106"/>
      <c r="E41" s="107"/>
      <c r="F41" s="106"/>
      <c r="G41" s="105"/>
      <c r="H41" s="108"/>
      <c r="I41" s="105"/>
      <c r="J41" s="103"/>
    </row>
    <row r="42" spans="2:10" ht="24.95" customHeight="1" x14ac:dyDescent="0.25">
      <c r="B42" s="104"/>
      <c r="C42" s="105"/>
      <c r="D42" s="106"/>
      <c r="E42" s="107"/>
      <c r="F42" s="106"/>
      <c r="G42" s="105"/>
      <c r="H42" s="108"/>
      <c r="I42" s="105"/>
      <c r="J42" s="103"/>
    </row>
    <row r="43" spans="2:10" ht="24.95" customHeight="1" x14ac:dyDescent="0.25">
      <c r="B43" s="104"/>
      <c r="C43" s="105"/>
      <c r="D43" s="106"/>
      <c r="E43" s="107"/>
      <c r="F43" s="106"/>
      <c r="G43" s="105"/>
      <c r="H43" s="108"/>
      <c r="I43" s="105"/>
      <c r="J43" s="103"/>
    </row>
    <row r="44" spans="2:10" ht="24.95" customHeight="1" x14ac:dyDescent="0.25">
      <c r="B44" s="104"/>
      <c r="C44" s="107"/>
      <c r="D44" s="106"/>
      <c r="E44" s="107"/>
      <c r="F44" s="106"/>
      <c r="G44" s="105"/>
      <c r="H44" s="108"/>
      <c r="I44" s="105"/>
      <c r="J44" s="103"/>
    </row>
    <row r="45" spans="2:10" ht="24.95" customHeight="1" x14ac:dyDescent="0.25">
      <c r="B45" s="104"/>
      <c r="C45" s="105"/>
      <c r="D45" s="106"/>
      <c r="E45" s="107"/>
      <c r="F45" s="106"/>
      <c r="G45" s="105"/>
      <c r="H45" s="108"/>
      <c r="I45" s="105"/>
      <c r="J45" s="103"/>
    </row>
    <row r="46" spans="2:10" ht="24.95" customHeight="1" x14ac:dyDescent="0.25">
      <c r="B46" s="104"/>
      <c r="C46" s="107"/>
      <c r="D46" s="106"/>
      <c r="E46" s="107"/>
      <c r="F46" s="106"/>
      <c r="G46" s="105"/>
      <c r="H46" s="108"/>
      <c r="I46" s="105"/>
      <c r="J46" s="103"/>
    </row>
    <row r="47" spans="2:10" ht="24.95" customHeight="1" x14ac:dyDescent="0.25">
      <c r="B47" s="104"/>
      <c r="C47" s="105"/>
      <c r="D47" s="106"/>
      <c r="E47" s="107"/>
      <c r="F47" s="106"/>
      <c r="G47" s="105"/>
      <c r="H47" s="108"/>
      <c r="I47" s="105"/>
      <c r="J47" s="103"/>
    </row>
    <row r="48" spans="2:10" ht="24.95" customHeight="1" x14ac:dyDescent="0.25">
      <c r="B48" s="104"/>
      <c r="C48" s="105"/>
      <c r="D48" s="106"/>
      <c r="E48" s="107"/>
      <c r="F48" s="106"/>
      <c r="G48" s="105"/>
      <c r="H48" s="108"/>
      <c r="I48" s="105"/>
      <c r="J48" s="103"/>
    </row>
    <row r="49" spans="2:10" ht="24.95" customHeight="1" x14ac:dyDescent="0.25">
      <c r="B49" s="104"/>
      <c r="C49" s="105"/>
      <c r="D49" s="106"/>
      <c r="E49" s="107"/>
      <c r="F49" s="106"/>
      <c r="G49" s="105"/>
      <c r="H49" s="108"/>
      <c r="I49" s="105"/>
      <c r="J49" s="103"/>
    </row>
    <row r="50" spans="2:10" ht="24.95" customHeight="1" x14ac:dyDescent="0.25">
      <c r="B50" s="104"/>
      <c r="C50" s="105"/>
      <c r="D50" s="106"/>
      <c r="E50" s="107"/>
      <c r="F50" s="106"/>
      <c r="G50" s="105"/>
      <c r="H50" s="108"/>
      <c r="I50" s="105"/>
      <c r="J50" s="103"/>
    </row>
    <row r="51" spans="2:10" ht="24.95" customHeight="1" x14ac:dyDescent="0.25">
      <c r="B51" s="104"/>
      <c r="C51" s="105"/>
      <c r="D51" s="106"/>
      <c r="E51" s="107"/>
      <c r="F51" s="106"/>
      <c r="G51" s="105"/>
      <c r="H51" s="108"/>
      <c r="I51" s="105"/>
      <c r="J51" s="103"/>
    </row>
    <row r="52" spans="2:10" ht="24.95" customHeight="1" x14ac:dyDescent="0.25">
      <c r="B52" s="104"/>
      <c r="C52" s="105"/>
      <c r="D52" s="106"/>
      <c r="E52" s="107"/>
      <c r="F52" s="106"/>
      <c r="G52" s="105"/>
      <c r="H52" s="108"/>
      <c r="I52" s="105"/>
      <c r="J52" s="103"/>
    </row>
    <row r="53" spans="2:10" ht="24.95" customHeight="1" x14ac:dyDescent="0.25">
      <c r="B53" s="104"/>
      <c r="C53" s="105"/>
      <c r="D53" s="106"/>
      <c r="E53" s="107"/>
      <c r="F53" s="106"/>
      <c r="G53" s="105"/>
      <c r="H53" s="108"/>
      <c r="I53" s="105"/>
      <c r="J53" s="103"/>
    </row>
    <row r="54" spans="2:10" ht="24.95" customHeight="1" thickBot="1" x14ac:dyDescent="0.3">
      <c r="B54" s="109"/>
      <c r="C54" s="110"/>
      <c r="D54" s="111"/>
      <c r="E54" s="112"/>
      <c r="F54" s="111"/>
      <c r="G54" s="110"/>
      <c r="H54" s="113"/>
      <c r="I54" s="110"/>
      <c r="J54" s="114"/>
    </row>
  </sheetData>
  <sheetProtection sheet="1" objects="1" scenarios="1"/>
  <dataConsolidate/>
  <pageMargins left="0" right="0" top="0.39370078740157483" bottom="0.39370078740157483" header="0.31496062992125984" footer="0.31496062992125984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83" r:id="rId4" name="TextBoxH17">
          <controlPr locked="0" defaultSize="0" disabled="1" autoLine="0" r:id="rId5">
            <anchor moveWithCells="1">
              <from>
                <xdr:col>8</xdr:col>
                <xdr:colOff>0</xdr:colOff>
                <xdr:row>16</xdr:row>
                <xdr:rowOff>28575</xdr:rowOff>
              </from>
              <to>
                <xdr:col>9</xdr:col>
                <xdr:colOff>1133475</xdr:colOff>
                <xdr:row>16</xdr:row>
                <xdr:rowOff>304800</xdr:rowOff>
              </to>
            </anchor>
          </controlPr>
        </control>
      </mc:Choice>
      <mc:Fallback>
        <control shapeId="1283" r:id="rId4" name="TextBoxH17"/>
      </mc:Fallback>
    </mc:AlternateContent>
    <mc:AlternateContent xmlns:mc="http://schemas.openxmlformats.org/markup-compatibility/2006">
      <mc:Choice Requires="x14">
        <control shapeId="1282" r:id="rId6" name="ComboBoxDateValidation">
          <controlPr defaultSize="0" autoLine="0" listFillRange="PARAM!$A$63:$A$64" r:id="rId7">
            <anchor moveWithCells="1">
              <from>
                <xdr:col>7</xdr:col>
                <xdr:colOff>0</xdr:colOff>
                <xdr:row>16</xdr:row>
                <xdr:rowOff>47625</xdr:rowOff>
              </from>
              <to>
                <xdr:col>8</xdr:col>
                <xdr:colOff>76200</xdr:colOff>
                <xdr:row>17</xdr:row>
                <xdr:rowOff>9525</xdr:rowOff>
              </to>
            </anchor>
          </controlPr>
        </control>
      </mc:Choice>
      <mc:Fallback>
        <control shapeId="1282" r:id="rId6" name="ComboBoxDateValidation"/>
      </mc:Fallback>
    </mc:AlternateContent>
    <mc:AlternateContent xmlns:mc="http://schemas.openxmlformats.org/markup-compatibility/2006">
      <mc:Choice Requires="x14">
        <control shapeId="1214" r:id="rId8" name="ValiderCadre2">
          <controlPr defaultSize="0" autoLine="0" r:id="rId9">
            <anchor moveWithCells="1">
              <from>
                <xdr:col>8</xdr:col>
                <xdr:colOff>381000</xdr:colOff>
                <xdr:row>20</xdr:row>
                <xdr:rowOff>47625</xdr:rowOff>
              </from>
              <to>
                <xdr:col>9</xdr:col>
                <xdr:colOff>981075</xdr:colOff>
                <xdr:row>21</xdr:row>
                <xdr:rowOff>38100</xdr:rowOff>
              </to>
            </anchor>
          </controlPr>
        </control>
      </mc:Choice>
      <mc:Fallback>
        <control shapeId="1214" r:id="rId8" name="ValiderCadre2"/>
      </mc:Fallback>
    </mc:AlternateContent>
    <mc:AlternateContent xmlns:mc="http://schemas.openxmlformats.org/markup-compatibility/2006">
      <mc:Choice Requires="x14">
        <control shapeId="1200" r:id="rId10" name="SupLign54">
          <controlPr defaultSize="0" autoLine="0" r:id="rId11">
            <anchor moveWithCells="1">
              <from>
                <xdr:col>10</xdr:col>
                <xdr:colOff>0</xdr:colOff>
                <xdr:row>53</xdr:row>
                <xdr:rowOff>0</xdr:rowOff>
              </from>
              <to>
                <xdr:col>11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200" r:id="rId10" name="SupLign54"/>
      </mc:Fallback>
    </mc:AlternateContent>
    <mc:AlternateContent xmlns:mc="http://schemas.openxmlformats.org/markup-compatibility/2006">
      <mc:Choice Requires="x14">
        <control shapeId="1199" r:id="rId12" name="SupLign53">
          <controlPr defaultSize="0" autoLine="0" r:id="rId13">
            <anchor moveWithCells="1">
              <from>
                <xdr:col>10</xdr:col>
                <xdr:colOff>0</xdr:colOff>
                <xdr:row>52</xdr:row>
                <xdr:rowOff>0</xdr:rowOff>
              </from>
              <to>
                <xdr:col>11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99" r:id="rId12" name="SupLign53"/>
      </mc:Fallback>
    </mc:AlternateContent>
    <mc:AlternateContent xmlns:mc="http://schemas.openxmlformats.org/markup-compatibility/2006">
      <mc:Choice Requires="x14">
        <control shapeId="1198" r:id="rId14" name="SupLign52">
          <controlPr defaultSize="0" autoLine="0" r:id="rId15">
            <anchor moveWithCells="1">
              <from>
                <xdr:col>10</xdr:col>
                <xdr:colOff>0</xdr:colOff>
                <xdr:row>51</xdr:row>
                <xdr:rowOff>0</xdr:rowOff>
              </from>
              <to>
                <xdr:col>11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98" r:id="rId14" name="SupLign52"/>
      </mc:Fallback>
    </mc:AlternateContent>
    <mc:AlternateContent xmlns:mc="http://schemas.openxmlformats.org/markup-compatibility/2006">
      <mc:Choice Requires="x14">
        <control shapeId="1197" r:id="rId16" name="SupLign51">
          <controlPr defaultSize="0" autoLine="0" r:id="rId17">
            <anchor moveWithCells="1">
              <from>
                <xdr:col>10</xdr:col>
                <xdr:colOff>0</xdr:colOff>
                <xdr:row>50</xdr:row>
                <xdr:rowOff>0</xdr:rowOff>
              </from>
              <to>
                <xdr:col>11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97" r:id="rId16" name="SupLign51"/>
      </mc:Fallback>
    </mc:AlternateContent>
    <mc:AlternateContent xmlns:mc="http://schemas.openxmlformats.org/markup-compatibility/2006">
      <mc:Choice Requires="x14">
        <control shapeId="1196" r:id="rId18" name="SupLign50">
          <controlPr defaultSize="0" autoLine="0" r:id="rId19">
            <anchor moveWithCells="1">
              <from>
                <xdr:col>10</xdr:col>
                <xdr:colOff>0</xdr:colOff>
                <xdr:row>49</xdr:row>
                <xdr:rowOff>0</xdr:rowOff>
              </from>
              <to>
                <xdr:col>11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1196" r:id="rId18" name="SupLign50"/>
      </mc:Fallback>
    </mc:AlternateContent>
    <mc:AlternateContent xmlns:mc="http://schemas.openxmlformats.org/markup-compatibility/2006">
      <mc:Choice Requires="x14">
        <control shapeId="1195" r:id="rId20" name="SupLign49">
          <controlPr defaultSize="0" autoLine="0" r:id="rId21">
            <anchor moveWithCells="1">
              <from>
                <xdr:col>10</xdr:col>
                <xdr:colOff>0</xdr:colOff>
                <xdr:row>48</xdr:row>
                <xdr:rowOff>0</xdr:rowOff>
              </from>
              <to>
                <xdr:col>11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1195" r:id="rId20" name="SupLign49"/>
      </mc:Fallback>
    </mc:AlternateContent>
    <mc:AlternateContent xmlns:mc="http://schemas.openxmlformats.org/markup-compatibility/2006">
      <mc:Choice Requires="x14">
        <control shapeId="1194" r:id="rId22" name="SupLign48">
          <controlPr defaultSize="0" autoLine="0" r:id="rId23">
            <anchor moveWithCells="1">
              <from>
                <xdr:col>10</xdr:col>
                <xdr:colOff>0</xdr:colOff>
                <xdr:row>47</xdr:row>
                <xdr:rowOff>0</xdr:rowOff>
              </from>
              <to>
                <xdr:col>11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1194" r:id="rId22" name="SupLign48"/>
      </mc:Fallback>
    </mc:AlternateContent>
    <mc:AlternateContent xmlns:mc="http://schemas.openxmlformats.org/markup-compatibility/2006">
      <mc:Choice Requires="x14">
        <control shapeId="1193" r:id="rId24" name="SupLign47">
          <controlPr defaultSize="0" autoLine="0" r:id="rId25">
            <anchor moveWithCells="1">
              <from>
                <xdr:col>10</xdr:col>
                <xdr:colOff>0</xdr:colOff>
                <xdr:row>46</xdr:row>
                <xdr:rowOff>0</xdr:rowOff>
              </from>
              <to>
                <xdr:col>11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1193" r:id="rId24" name="SupLign47"/>
      </mc:Fallback>
    </mc:AlternateContent>
    <mc:AlternateContent xmlns:mc="http://schemas.openxmlformats.org/markup-compatibility/2006">
      <mc:Choice Requires="x14">
        <control shapeId="1192" r:id="rId26" name="SupLign46">
          <controlPr defaultSize="0" autoLine="0" r:id="rId27">
            <anchor moveWithCells="1">
              <from>
                <xdr:col>10</xdr:col>
                <xdr:colOff>0</xdr:colOff>
                <xdr:row>45</xdr:row>
                <xdr:rowOff>0</xdr:rowOff>
              </from>
              <to>
                <xdr:col>11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1192" r:id="rId26" name="SupLign46"/>
      </mc:Fallback>
    </mc:AlternateContent>
    <mc:AlternateContent xmlns:mc="http://schemas.openxmlformats.org/markup-compatibility/2006">
      <mc:Choice Requires="x14">
        <control shapeId="1191" r:id="rId28" name="SupLign45">
          <controlPr defaultSize="0" autoLine="0" r:id="rId29">
            <anchor moveWithCells="1">
              <from>
                <xdr:col>10</xdr:col>
                <xdr:colOff>0</xdr:colOff>
                <xdr:row>44</xdr:row>
                <xdr:rowOff>0</xdr:rowOff>
              </from>
              <to>
                <xdr:col>11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191" r:id="rId28" name="SupLign45"/>
      </mc:Fallback>
    </mc:AlternateContent>
    <mc:AlternateContent xmlns:mc="http://schemas.openxmlformats.org/markup-compatibility/2006">
      <mc:Choice Requires="x14">
        <control shapeId="1190" r:id="rId30" name="SupLign44">
          <controlPr defaultSize="0" autoLine="0" r:id="rId31">
            <anchor moveWithCells="1">
              <from>
                <xdr:col>10</xdr:col>
                <xdr:colOff>0</xdr:colOff>
                <xdr:row>43</xdr:row>
                <xdr:rowOff>0</xdr:rowOff>
              </from>
              <to>
                <xdr:col>11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1190" r:id="rId30" name="SupLign44"/>
      </mc:Fallback>
    </mc:AlternateContent>
    <mc:AlternateContent xmlns:mc="http://schemas.openxmlformats.org/markup-compatibility/2006">
      <mc:Choice Requires="x14">
        <control shapeId="1189" r:id="rId32" name="SupLign43">
          <controlPr defaultSize="0" autoLine="0" r:id="rId33">
            <anchor moveWithCells="1">
              <from>
                <xdr:col>10</xdr:col>
                <xdr:colOff>0</xdr:colOff>
                <xdr:row>42</xdr:row>
                <xdr:rowOff>0</xdr:rowOff>
              </from>
              <to>
                <xdr:col>11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1189" r:id="rId32" name="SupLign43"/>
      </mc:Fallback>
    </mc:AlternateContent>
    <mc:AlternateContent xmlns:mc="http://schemas.openxmlformats.org/markup-compatibility/2006">
      <mc:Choice Requires="x14">
        <control shapeId="1188" r:id="rId34" name="SupLign42">
          <controlPr defaultSize="0" autoLine="0" r:id="rId35">
            <anchor moveWithCells="1">
              <from>
                <xdr:col>10</xdr:col>
                <xdr:colOff>0</xdr:colOff>
                <xdr:row>41</xdr:row>
                <xdr:rowOff>0</xdr:rowOff>
              </from>
              <to>
                <xdr:col>11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1188" r:id="rId34" name="SupLign42"/>
      </mc:Fallback>
    </mc:AlternateContent>
    <mc:AlternateContent xmlns:mc="http://schemas.openxmlformats.org/markup-compatibility/2006">
      <mc:Choice Requires="x14">
        <control shapeId="1187" r:id="rId36" name="SupLign41">
          <controlPr defaultSize="0" autoLine="0" r:id="rId37">
            <anchor moveWithCells="1">
              <from>
                <xdr:col>10</xdr:col>
                <xdr:colOff>0</xdr:colOff>
                <xdr:row>40</xdr:row>
                <xdr:rowOff>0</xdr:rowOff>
              </from>
              <to>
                <xdr:col>11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1187" r:id="rId36" name="SupLign41"/>
      </mc:Fallback>
    </mc:AlternateContent>
    <mc:AlternateContent xmlns:mc="http://schemas.openxmlformats.org/markup-compatibility/2006">
      <mc:Choice Requires="x14">
        <control shapeId="1186" r:id="rId38" name="SupLign40">
          <controlPr defaultSize="0" autoLine="0" r:id="rId39">
            <anchor moveWithCells="1">
              <from>
                <xdr:col>10</xdr:col>
                <xdr:colOff>0</xdr:colOff>
                <xdr:row>39</xdr:row>
                <xdr:rowOff>0</xdr:rowOff>
              </from>
              <to>
                <xdr:col>11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86" r:id="rId38" name="SupLign40"/>
      </mc:Fallback>
    </mc:AlternateContent>
    <mc:AlternateContent xmlns:mc="http://schemas.openxmlformats.org/markup-compatibility/2006">
      <mc:Choice Requires="x14">
        <control shapeId="1185" r:id="rId40" name="SupLign39">
          <controlPr defaultSize="0" autoLine="0" r:id="rId41">
            <anchor moveWithCells="1">
              <from>
                <xdr:col>10</xdr:col>
                <xdr:colOff>0</xdr:colOff>
                <xdr:row>38</xdr:row>
                <xdr:rowOff>0</xdr:rowOff>
              </from>
              <to>
                <xdr:col>11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85" r:id="rId40" name="SupLign39"/>
      </mc:Fallback>
    </mc:AlternateContent>
    <mc:AlternateContent xmlns:mc="http://schemas.openxmlformats.org/markup-compatibility/2006">
      <mc:Choice Requires="x14">
        <control shapeId="1184" r:id="rId42" name="SupLign38">
          <controlPr defaultSize="0" autoLine="0" r:id="rId43">
            <anchor moveWithCells="1">
              <from>
                <xdr:col>10</xdr:col>
                <xdr:colOff>0</xdr:colOff>
                <xdr:row>37</xdr:row>
                <xdr:rowOff>0</xdr:rowOff>
              </from>
              <to>
                <xdr:col>11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84" r:id="rId42" name="SupLign38"/>
      </mc:Fallback>
    </mc:AlternateContent>
    <mc:AlternateContent xmlns:mc="http://schemas.openxmlformats.org/markup-compatibility/2006">
      <mc:Choice Requires="x14">
        <control shapeId="1183" r:id="rId44" name="SupLign37">
          <controlPr defaultSize="0" autoLine="0" r:id="rId45">
            <anchor moveWithCells="1">
              <from>
                <xdr:col>10</xdr:col>
                <xdr:colOff>0</xdr:colOff>
                <xdr:row>36</xdr:row>
                <xdr:rowOff>0</xdr:rowOff>
              </from>
              <to>
                <xdr:col>11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83" r:id="rId44" name="SupLign37"/>
      </mc:Fallback>
    </mc:AlternateContent>
    <mc:AlternateContent xmlns:mc="http://schemas.openxmlformats.org/markup-compatibility/2006">
      <mc:Choice Requires="x14">
        <control shapeId="1182" r:id="rId46" name="SupLign36">
          <controlPr defaultSize="0" autoLine="0" r:id="rId47">
            <anchor moveWithCells="1">
              <from>
                <xdr:col>10</xdr:col>
                <xdr:colOff>0</xdr:colOff>
                <xdr:row>35</xdr:row>
                <xdr:rowOff>0</xdr:rowOff>
              </from>
              <to>
                <xdr:col>11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82" r:id="rId46" name="SupLign36"/>
      </mc:Fallback>
    </mc:AlternateContent>
    <mc:AlternateContent xmlns:mc="http://schemas.openxmlformats.org/markup-compatibility/2006">
      <mc:Choice Requires="x14">
        <control shapeId="1181" r:id="rId48" name="SupLign35">
          <controlPr defaultSize="0" autoLine="0" r:id="rId49">
            <anchor moveWithCells="1">
              <from>
                <xdr:col>10</xdr:col>
                <xdr:colOff>0</xdr:colOff>
                <xdr:row>34</xdr:row>
                <xdr:rowOff>0</xdr:rowOff>
              </from>
              <to>
                <xdr:col>11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1181" r:id="rId48" name="SupLign35"/>
      </mc:Fallback>
    </mc:AlternateContent>
    <mc:AlternateContent xmlns:mc="http://schemas.openxmlformats.org/markup-compatibility/2006">
      <mc:Choice Requires="x14">
        <control shapeId="1180" r:id="rId50" name="SupLign34">
          <controlPr defaultSize="0" autoLine="0" r:id="rId51">
            <anchor moveWithCells="1">
              <from>
                <xdr:col>10</xdr:col>
                <xdr:colOff>0</xdr:colOff>
                <xdr:row>33</xdr:row>
                <xdr:rowOff>0</xdr:rowOff>
              </from>
              <to>
                <xdr:col>11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1180" r:id="rId50" name="SupLign34"/>
      </mc:Fallback>
    </mc:AlternateContent>
    <mc:AlternateContent xmlns:mc="http://schemas.openxmlformats.org/markup-compatibility/2006">
      <mc:Choice Requires="x14">
        <control shapeId="1178" r:id="rId52" name="SupLign33">
          <controlPr defaultSize="0" autoLine="0" r:id="rId53">
            <anchor moveWithCells="1">
              <from>
                <xdr:col>10</xdr:col>
                <xdr:colOff>0</xdr:colOff>
                <xdr:row>32</xdr:row>
                <xdr:rowOff>0</xdr:rowOff>
              </from>
              <to>
                <xdr:col>11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178" r:id="rId52" name="SupLign33"/>
      </mc:Fallback>
    </mc:AlternateContent>
    <mc:AlternateContent xmlns:mc="http://schemas.openxmlformats.org/markup-compatibility/2006">
      <mc:Choice Requires="x14">
        <control shapeId="1177" r:id="rId54" name="SupLign32">
          <controlPr defaultSize="0" autoLine="0" r:id="rId55">
            <anchor moveWithCells="1">
              <from>
                <xdr:col>10</xdr:col>
                <xdr:colOff>0</xdr:colOff>
                <xdr:row>31</xdr:row>
                <xdr:rowOff>0</xdr:rowOff>
              </from>
              <to>
                <xdr:col>11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177" r:id="rId54" name="SupLign32"/>
      </mc:Fallback>
    </mc:AlternateContent>
    <mc:AlternateContent xmlns:mc="http://schemas.openxmlformats.org/markup-compatibility/2006">
      <mc:Choice Requires="x14">
        <control shapeId="1176" r:id="rId56" name="SupLign31">
          <controlPr defaultSize="0" autoLine="0" r:id="rId57">
            <anchor moveWithCells="1">
              <from>
                <xdr:col>10</xdr:col>
                <xdr:colOff>0</xdr:colOff>
                <xdr:row>30</xdr:row>
                <xdr:rowOff>0</xdr:rowOff>
              </from>
              <to>
                <xdr:col>11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176" r:id="rId56" name="SupLign31"/>
      </mc:Fallback>
    </mc:AlternateContent>
    <mc:AlternateContent xmlns:mc="http://schemas.openxmlformats.org/markup-compatibility/2006">
      <mc:Choice Requires="x14">
        <control shapeId="1175" r:id="rId58" name="SupLign30">
          <controlPr defaultSize="0" autoLine="0" r:id="rId59">
            <anchor moveWithCells="1">
              <from>
                <xdr:col>10</xdr:col>
                <xdr:colOff>0</xdr:colOff>
                <xdr:row>29</xdr:row>
                <xdr:rowOff>0</xdr:rowOff>
              </from>
              <to>
                <xdr:col>11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75" r:id="rId58" name="SupLign30"/>
      </mc:Fallback>
    </mc:AlternateContent>
    <mc:AlternateContent xmlns:mc="http://schemas.openxmlformats.org/markup-compatibility/2006">
      <mc:Choice Requires="x14">
        <control shapeId="1174" r:id="rId60" name="SupLign29">
          <controlPr defaultSize="0" autoLine="0" r:id="rId61">
            <anchor moveWithCells="1">
              <from>
                <xdr:col>10</xdr:col>
                <xdr:colOff>0</xdr:colOff>
                <xdr:row>28</xdr:row>
                <xdr:rowOff>0</xdr:rowOff>
              </from>
              <to>
                <xdr:col>11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74" r:id="rId60" name="SupLign29"/>
      </mc:Fallback>
    </mc:AlternateContent>
    <mc:AlternateContent xmlns:mc="http://schemas.openxmlformats.org/markup-compatibility/2006">
      <mc:Choice Requires="x14">
        <control shapeId="1173" r:id="rId62" name="SupLign28">
          <controlPr defaultSize="0" autoLine="0" r:id="rId63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73" r:id="rId62" name="SupLign28"/>
      </mc:Fallback>
    </mc:AlternateContent>
    <mc:AlternateContent xmlns:mc="http://schemas.openxmlformats.org/markup-compatibility/2006">
      <mc:Choice Requires="x14">
        <control shapeId="1068" r:id="rId64" name="TextBoxB9">
          <controlPr locked="0" defaultSize="0" disabled="1" autoLine="0" autoPict="0" r:id="rId65">
            <anchor moveWithCells="1">
              <from>
                <xdr:col>2</xdr:col>
                <xdr:colOff>19050</xdr:colOff>
                <xdr:row>8</xdr:row>
                <xdr:rowOff>9525</xdr:rowOff>
              </from>
              <to>
                <xdr:col>3</xdr:col>
                <xdr:colOff>1219200</xdr:colOff>
                <xdr:row>9</xdr:row>
                <xdr:rowOff>95250</xdr:rowOff>
              </to>
            </anchor>
          </controlPr>
        </control>
      </mc:Choice>
      <mc:Fallback>
        <control shapeId="1068" r:id="rId64" name="TextBoxB9"/>
      </mc:Fallback>
    </mc:AlternateContent>
    <mc:AlternateContent xmlns:mc="http://schemas.openxmlformats.org/markup-compatibility/2006">
      <mc:Choice Requires="x14">
        <control shapeId="1064" r:id="rId66" name="ValiderCadre1">
          <controlPr locked="0" autoLine="0" r:id="rId67">
            <anchor moveWithCells="1">
              <from>
                <xdr:col>8</xdr:col>
                <xdr:colOff>400050</xdr:colOff>
                <xdr:row>6</xdr:row>
                <xdr:rowOff>28575</xdr:rowOff>
              </from>
              <to>
                <xdr:col>9</xdr:col>
                <xdr:colOff>1000125</xdr:colOff>
                <xdr:row>7</xdr:row>
                <xdr:rowOff>85725</xdr:rowOff>
              </to>
            </anchor>
          </controlPr>
        </control>
      </mc:Choice>
      <mc:Fallback>
        <control shapeId="1064" r:id="rId66" name="ValiderCadre1"/>
      </mc:Fallback>
    </mc:AlternateContent>
    <mc:AlternateContent xmlns:mc="http://schemas.openxmlformats.org/markup-compatibility/2006">
      <mc:Choice Requires="x14">
        <control shapeId="1078" r:id="rId68" name="TextBoxB11">
          <controlPr locked="0" defaultSize="0" disabled="1" autoLine="0" autoPict="0" r:id="rId69">
            <anchor moveWithCells="1">
              <from>
                <xdr:col>2</xdr:col>
                <xdr:colOff>9525</xdr:colOff>
                <xdr:row>10</xdr:row>
                <xdr:rowOff>9525</xdr:rowOff>
              </from>
              <to>
                <xdr:col>3</xdr:col>
                <xdr:colOff>1228725</xdr:colOff>
                <xdr:row>11</xdr:row>
                <xdr:rowOff>95250</xdr:rowOff>
              </to>
            </anchor>
          </controlPr>
        </control>
      </mc:Choice>
      <mc:Fallback>
        <control shapeId="1078" r:id="rId68" name="TextBoxB11"/>
      </mc:Fallback>
    </mc:AlternateContent>
    <mc:AlternateContent xmlns:mc="http://schemas.openxmlformats.org/markup-compatibility/2006">
      <mc:Choice Requires="x14">
        <control shapeId="1082" r:id="rId70" name="TextBoxE11">
          <controlPr locked="0" defaultSize="0" disabled="1" autoLine="0" autoPict="0" r:id="rId71">
            <anchor moveWithCells="1">
              <from>
                <xdr:col>5</xdr:col>
                <xdr:colOff>9525</xdr:colOff>
                <xdr:row>10</xdr:row>
                <xdr:rowOff>9525</xdr:rowOff>
              </from>
              <to>
                <xdr:col>7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1082" r:id="rId70" name="TextBoxE11"/>
      </mc:Fallback>
    </mc:AlternateContent>
    <mc:AlternateContent xmlns:mc="http://schemas.openxmlformats.org/markup-compatibility/2006">
      <mc:Choice Requires="x14">
        <control shapeId="1084" r:id="rId72" name="TextBoxE15">
          <controlPr locked="0" defaultSize="0" disabled="1" autoLine="0" autoPict="0" r:id="rId73">
            <anchor moveWithCells="1">
              <from>
                <xdr:col>5</xdr:col>
                <xdr:colOff>19050</xdr:colOff>
                <xdr:row>13</xdr:row>
                <xdr:rowOff>171450</xdr:rowOff>
              </from>
              <to>
                <xdr:col>6</xdr:col>
                <xdr:colOff>571500</xdr:colOff>
                <xdr:row>15</xdr:row>
                <xdr:rowOff>76200</xdr:rowOff>
              </to>
            </anchor>
          </controlPr>
        </control>
      </mc:Choice>
      <mc:Fallback>
        <control shapeId="1084" r:id="rId72" name="TextBoxE15"/>
      </mc:Fallback>
    </mc:AlternateContent>
    <mc:AlternateContent xmlns:mc="http://schemas.openxmlformats.org/markup-compatibility/2006">
      <mc:Choice Requires="x14">
        <control shapeId="1085" r:id="rId74" name="TextBoxH11">
          <controlPr locked="0" defaultSize="0" disabled="1" autoLine="0" r:id="rId75">
            <anchor moveWithCells="1">
              <from>
                <xdr:col>8</xdr:col>
                <xdr:colOff>9525</xdr:colOff>
                <xdr:row>10</xdr:row>
                <xdr:rowOff>19050</xdr:rowOff>
              </from>
              <to>
                <xdr:col>9</xdr:col>
                <xdr:colOff>638175</xdr:colOff>
                <xdr:row>11</xdr:row>
                <xdr:rowOff>104775</xdr:rowOff>
              </to>
            </anchor>
          </controlPr>
        </control>
      </mc:Choice>
      <mc:Fallback>
        <control shapeId="1085" r:id="rId74" name="TextBoxH11"/>
      </mc:Fallback>
    </mc:AlternateContent>
    <mc:AlternateContent xmlns:mc="http://schemas.openxmlformats.org/markup-compatibility/2006">
      <mc:Choice Requires="x14">
        <control shapeId="1087" r:id="rId76" name="TextBoxH15">
          <controlPr locked="0" defaultSize="0" disabled="1" autoLine="0" autoPict="0" r:id="rId77">
            <anchor moveWithCells="1">
              <from>
                <xdr:col>8</xdr:col>
                <xdr:colOff>9525</xdr:colOff>
                <xdr:row>14</xdr:row>
                <xdr:rowOff>19050</xdr:rowOff>
              </from>
              <to>
                <xdr:col>9</xdr:col>
                <xdr:colOff>1143000</xdr:colOff>
                <xdr:row>15</xdr:row>
                <xdr:rowOff>114300</xdr:rowOff>
              </to>
            </anchor>
          </controlPr>
        </control>
      </mc:Choice>
      <mc:Fallback>
        <control shapeId="1087" r:id="rId76" name="TextBoxH15"/>
      </mc:Fallback>
    </mc:AlternateContent>
    <mc:AlternateContent xmlns:mc="http://schemas.openxmlformats.org/markup-compatibility/2006">
      <mc:Choice Requires="x14">
        <control shapeId="1098" r:id="rId78" name="RAZ_Formulaire">
          <controlPr defaultSize="0" autoLine="0" r:id="rId79">
            <anchor moveWithCells="1">
              <from>
                <xdr:col>8</xdr:col>
                <xdr:colOff>0</xdr:colOff>
                <xdr:row>2</xdr:row>
                <xdr:rowOff>38100</xdr:rowOff>
              </from>
              <to>
                <xdr:col>9</xdr:col>
                <xdr:colOff>1343025</xdr:colOff>
                <xdr:row>3</xdr:row>
                <xdr:rowOff>133350</xdr:rowOff>
              </to>
            </anchor>
          </controlPr>
        </control>
      </mc:Choice>
      <mc:Fallback>
        <control shapeId="1098" r:id="rId78" name="RAZ_Formulaire"/>
      </mc:Fallback>
    </mc:AlternateContent>
    <mc:AlternateContent xmlns:mc="http://schemas.openxmlformats.org/markup-compatibility/2006">
      <mc:Choice Requires="x14">
        <control shapeId="1108" r:id="rId80" name="ComboBoxType">
          <controlPr locked="0" disabled="1" autoLine="0" listFillRange="PARAM!$A$6:$A$11" r:id="rId81">
            <anchor moveWithCells="1">
              <from>
                <xdr:col>2</xdr:col>
                <xdr:colOff>9525</xdr:colOff>
                <xdr:row>13</xdr:row>
                <xdr:rowOff>161925</xdr:rowOff>
              </from>
              <to>
                <xdr:col>3</xdr:col>
                <xdr:colOff>1266825</xdr:colOff>
                <xdr:row>15</xdr:row>
                <xdr:rowOff>66675</xdr:rowOff>
              </to>
            </anchor>
          </controlPr>
        </control>
      </mc:Choice>
      <mc:Fallback>
        <control shapeId="1108" r:id="rId80" name="ComboBoxType"/>
      </mc:Fallback>
    </mc:AlternateContent>
    <mc:AlternateContent xmlns:mc="http://schemas.openxmlformats.org/markup-compatibility/2006">
      <mc:Choice Requires="x14">
        <control shapeId="1121" r:id="rId82" name="TextBoxB17">
          <controlPr locked="0" defaultSize="0" disabled="1" autoLine="0" autoPict="0" r:id="rId83">
            <anchor moveWithCells="1">
              <from>
                <xdr:col>2</xdr:col>
                <xdr:colOff>390525</xdr:colOff>
                <xdr:row>16</xdr:row>
                <xdr:rowOff>28575</xdr:rowOff>
              </from>
              <to>
                <xdr:col>3</xdr:col>
                <xdr:colOff>1228725</xdr:colOff>
                <xdr:row>16</xdr:row>
                <xdr:rowOff>304800</xdr:rowOff>
              </to>
            </anchor>
          </controlPr>
        </control>
      </mc:Choice>
      <mc:Fallback>
        <control shapeId="1121" r:id="rId82" name="TextBoxB17"/>
      </mc:Fallback>
    </mc:AlternateContent>
    <mc:AlternateContent xmlns:mc="http://schemas.openxmlformats.org/markup-compatibility/2006">
      <mc:Choice Requires="x14">
        <control shapeId="1123" r:id="rId84" name="ComboBoxRaccordement">
          <controlPr locked="0" defaultSize="0" disabled="1" autoLine="0" autoPict="0" listFillRange="PARAM!$A$39:$A$44" r:id="rId85">
            <anchor moveWithCells="1">
              <from>
                <xdr:col>5</xdr:col>
                <xdr:colOff>0</xdr:colOff>
                <xdr:row>13</xdr:row>
                <xdr:rowOff>180975</xdr:rowOff>
              </from>
              <to>
                <xdr:col>6</xdr:col>
                <xdr:colOff>76200</xdr:colOff>
                <xdr:row>15</xdr:row>
                <xdr:rowOff>85725</xdr:rowOff>
              </to>
            </anchor>
          </controlPr>
        </control>
      </mc:Choice>
      <mc:Fallback>
        <control shapeId="1123" r:id="rId84" name="ComboBoxRaccordement"/>
      </mc:Fallback>
    </mc:AlternateContent>
    <mc:AlternateContent xmlns:mc="http://schemas.openxmlformats.org/markup-compatibility/2006">
      <mc:Choice Requires="x14">
        <control shapeId="1124" r:id="rId86" name="TextBoxE17">
          <controlPr locked="0" defaultSize="0" disabled="1" autoLine="0" autoPict="0" r:id="rId87">
            <anchor moveWithCells="1">
              <from>
                <xdr:col>5</xdr:col>
                <xdr:colOff>0</xdr:colOff>
                <xdr:row>16</xdr:row>
                <xdr:rowOff>38100</xdr:rowOff>
              </from>
              <to>
                <xdr:col>5</xdr:col>
                <xdr:colOff>1228725</xdr:colOff>
                <xdr:row>17</xdr:row>
                <xdr:rowOff>0</xdr:rowOff>
              </to>
            </anchor>
          </controlPr>
        </control>
      </mc:Choice>
      <mc:Fallback>
        <control shapeId="1124" r:id="rId86" name="TextBoxE17"/>
      </mc:Fallback>
    </mc:AlternateContent>
    <mc:AlternateContent xmlns:mc="http://schemas.openxmlformats.org/markup-compatibility/2006">
      <mc:Choice Requires="x14">
        <control shapeId="1133" r:id="rId88" name="SupLign25">
          <controlPr autoLine="0" r:id="rId89">
            <anchor moveWithCells="1">
              <from>
                <xdr:col>10</xdr:col>
                <xdr:colOff>0</xdr:colOff>
                <xdr:row>24</xdr:row>
                <xdr:rowOff>0</xdr:rowOff>
              </from>
              <to>
                <xdr:col>11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33" r:id="rId88" name="SupLign25"/>
      </mc:Fallback>
    </mc:AlternateContent>
    <mc:AlternateContent xmlns:mc="http://schemas.openxmlformats.org/markup-compatibility/2006">
      <mc:Choice Requires="x14">
        <control shapeId="1135" r:id="rId90" name="SupLign26">
          <controlPr defaultSize="0" autoLine="0" r:id="rId91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35" r:id="rId90" name="SupLign26"/>
      </mc:Fallback>
    </mc:AlternateContent>
    <mc:AlternateContent xmlns:mc="http://schemas.openxmlformats.org/markup-compatibility/2006">
      <mc:Choice Requires="x14">
        <control shapeId="1136" r:id="rId92" name="SupLign27">
          <controlPr defaultSize="0" autoLine="0" r:id="rId93">
            <anchor moveWithCells="1">
              <from>
                <xdr:col>10</xdr:col>
                <xdr:colOff>0</xdr:colOff>
                <xdr:row>26</xdr:row>
                <xdr:rowOff>0</xdr:rowOff>
              </from>
              <to>
                <xdr:col>11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36" r:id="rId92" name="SupLign27"/>
      </mc:Fallback>
    </mc:AlternateContent>
    <mc:AlternateContent xmlns:mc="http://schemas.openxmlformats.org/markup-compatibility/2006">
      <mc:Choice Requires="x14">
        <control shapeId="1279" r:id="rId94" name="Label1">
          <controlPr defaultSize="0" autoLine="0" autoPict="0" r:id="rId95">
            <anchor moveWithCells="1">
              <from>
                <xdr:col>8</xdr:col>
                <xdr:colOff>0</xdr:colOff>
                <xdr:row>1</xdr:row>
                <xdr:rowOff>28575</xdr:rowOff>
              </from>
              <to>
                <xdr:col>9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1279" r:id="rId9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901" yWindow="573" count="3">
        <x14:dataValidation type="list" allowBlank="1" showInputMessage="1" showErrorMessage="1">
          <x14:formula1>
            <xm:f>PARAM!$A$19:$A$20</xm:f>
          </x14:formula1>
          <xm:sqref>B20 B25:B54</xm:sqref>
        </x14:dataValidation>
        <x14:dataValidation type="list" allowBlank="1" showInputMessage="1" showErrorMessage="1">
          <x14:formula1>
            <xm:f>PARAM!$A$25:$A$30</xm:f>
          </x14:formula1>
          <xm:sqref>F20</xm:sqref>
        </x14:dataValidation>
        <x14:dataValidation type="list" allowBlank="1" showInputMessage="1" showErrorMessage="1" errorTitle="Choix du protocole" error="Protocole inconnu utiliser la liste déroulante" promptTitle="Protocoles Autorisés" prompt="Cliquer pour ouvrir la liste déroulante">
          <x14:formula1>
            <xm:f>PARAM!$A$25:$A$27</xm:f>
          </x14:formula1>
          <xm:sqref>G25:G54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J68"/>
  <sheetViews>
    <sheetView workbookViewId="0">
      <selection activeCell="B19" sqref="B19"/>
    </sheetView>
  </sheetViews>
  <sheetFormatPr baseColWidth="10" defaultRowHeight="15" x14ac:dyDescent="0.25"/>
  <cols>
    <col min="1" max="1" width="29.28515625" customWidth="1"/>
    <col min="2" max="2" width="44.42578125" customWidth="1"/>
    <col min="3" max="3" width="35" customWidth="1"/>
    <col min="4" max="4" width="39" customWidth="1"/>
    <col min="5" max="5" width="38.140625" customWidth="1"/>
    <col min="6" max="6" width="18.85546875" customWidth="1"/>
    <col min="7" max="7" width="20.7109375" customWidth="1"/>
    <col min="8" max="8" width="24.28515625" bestFit="1" customWidth="1"/>
    <col min="9" max="9" width="37.5703125" customWidth="1"/>
  </cols>
  <sheetData>
    <row r="1" spans="1:7" x14ac:dyDescent="0.25">
      <c r="A1" t="s">
        <v>28</v>
      </c>
      <c r="B1" s="21" t="s">
        <v>201</v>
      </c>
      <c r="C1" t="s">
        <v>200</v>
      </c>
    </row>
    <row r="2" spans="1:7" x14ac:dyDescent="0.25">
      <c r="A2" t="s">
        <v>29</v>
      </c>
      <c r="B2" t="s">
        <v>180</v>
      </c>
    </row>
    <row r="4" spans="1:7" ht="15.75" thickBot="1" x14ac:dyDescent="0.3">
      <c r="A4" s="27" t="s">
        <v>17</v>
      </c>
      <c r="B4" s="27" t="s">
        <v>45</v>
      </c>
      <c r="C4" s="27" t="s">
        <v>18</v>
      </c>
      <c r="D4" s="27" t="s">
        <v>33</v>
      </c>
      <c r="E4" s="27" t="s">
        <v>50</v>
      </c>
    </row>
    <row r="5" spans="1:7" x14ac:dyDescent="0.25">
      <c r="A5" s="28" t="s">
        <v>38</v>
      </c>
      <c r="B5" s="34" t="s">
        <v>48</v>
      </c>
      <c r="C5" s="34" t="s">
        <v>48</v>
      </c>
      <c r="D5" s="34" t="s">
        <v>48</v>
      </c>
      <c r="E5" s="76" t="s">
        <v>48</v>
      </c>
      <c r="F5" s="36" t="s">
        <v>150</v>
      </c>
      <c r="G5" s="36" t="s">
        <v>150</v>
      </c>
    </row>
    <row r="6" spans="1:7" x14ac:dyDescent="0.25">
      <c r="A6" s="29" t="s">
        <v>2</v>
      </c>
      <c r="B6" s="66" t="s">
        <v>150</v>
      </c>
      <c r="C6" s="3" t="s">
        <v>14</v>
      </c>
      <c r="D6" s="32" t="s">
        <v>48</v>
      </c>
      <c r="E6" s="77" t="s">
        <v>126</v>
      </c>
      <c r="F6" s="15" t="s">
        <v>154</v>
      </c>
      <c r="G6" s="15" t="s">
        <v>150</v>
      </c>
    </row>
    <row r="7" spans="1:7" x14ac:dyDescent="0.25">
      <c r="A7" s="29" t="s">
        <v>3</v>
      </c>
      <c r="B7" s="3" t="s">
        <v>46</v>
      </c>
      <c r="C7" s="3" t="s">
        <v>15</v>
      </c>
      <c r="D7" s="33" t="s">
        <v>153</v>
      </c>
      <c r="E7" s="77" t="s">
        <v>49</v>
      </c>
      <c r="F7" s="15" t="s">
        <v>150</v>
      </c>
      <c r="G7" s="15" t="s">
        <v>150</v>
      </c>
    </row>
    <row r="8" spans="1:7" x14ac:dyDescent="0.25">
      <c r="A8" s="29" t="s">
        <v>4</v>
      </c>
      <c r="B8" s="66" t="s">
        <v>150</v>
      </c>
      <c r="C8" s="3" t="s">
        <v>14</v>
      </c>
      <c r="D8" s="66" t="s">
        <v>177</v>
      </c>
      <c r="E8" s="77" t="s">
        <v>126</v>
      </c>
      <c r="F8" s="15" t="s">
        <v>150</v>
      </c>
      <c r="G8" s="15" t="s">
        <v>150</v>
      </c>
    </row>
    <row r="9" spans="1:7" x14ac:dyDescent="0.25">
      <c r="A9" s="29" t="s">
        <v>5</v>
      </c>
      <c r="B9" s="3" t="s">
        <v>152</v>
      </c>
      <c r="C9" s="3" t="s">
        <v>13</v>
      </c>
      <c r="D9" s="3" t="s">
        <v>48</v>
      </c>
      <c r="E9" s="77" t="s">
        <v>48</v>
      </c>
      <c r="F9" s="15" t="s">
        <v>150</v>
      </c>
      <c r="G9" s="15" t="s">
        <v>154</v>
      </c>
    </row>
    <row r="10" spans="1:7" x14ac:dyDescent="0.25">
      <c r="A10" s="29" t="s">
        <v>6</v>
      </c>
      <c r="B10" s="3" t="s">
        <v>48</v>
      </c>
      <c r="C10" s="3" t="s">
        <v>12</v>
      </c>
      <c r="D10" s="32" t="s">
        <v>48</v>
      </c>
      <c r="E10" s="78" t="s">
        <v>151</v>
      </c>
      <c r="F10" s="15" t="s">
        <v>154</v>
      </c>
      <c r="G10" s="15" t="s">
        <v>150</v>
      </c>
    </row>
    <row r="11" spans="1:7" ht="15.75" thickBot="1" x14ac:dyDescent="0.3">
      <c r="A11" s="30" t="s">
        <v>51</v>
      </c>
      <c r="B11" s="23" t="s">
        <v>48</v>
      </c>
      <c r="C11" s="23" t="s">
        <v>11</v>
      </c>
      <c r="D11" s="37" t="s">
        <v>48</v>
      </c>
      <c r="E11" s="79" t="s">
        <v>35</v>
      </c>
      <c r="F11" s="15" t="s">
        <v>154</v>
      </c>
      <c r="G11" s="80" t="s">
        <v>150</v>
      </c>
    </row>
    <row r="14" spans="1:7" x14ac:dyDescent="0.25">
      <c r="A14" s="1" t="s">
        <v>74</v>
      </c>
      <c r="B14">
        <v>1</v>
      </c>
    </row>
    <row r="15" spans="1:7" x14ac:dyDescent="0.25">
      <c r="A15" s="1" t="s">
        <v>75</v>
      </c>
      <c r="B15">
        <v>1</v>
      </c>
    </row>
    <row r="16" spans="1:7" x14ac:dyDescent="0.25">
      <c r="A16" s="1" t="s">
        <v>167</v>
      </c>
      <c r="B16" t="s">
        <v>2</v>
      </c>
    </row>
    <row r="18" spans="1:10" ht="15.75" thickBot="1" x14ac:dyDescent="0.3">
      <c r="A18" t="s">
        <v>19</v>
      </c>
      <c r="C18" s="67"/>
    </row>
    <row r="19" spans="1:10" x14ac:dyDescent="0.25">
      <c r="A19" s="4" t="s">
        <v>20</v>
      </c>
    </row>
    <row r="20" spans="1:10" ht="24.95" customHeight="1" x14ac:dyDescent="0.25">
      <c r="A20" s="5" t="s">
        <v>21</v>
      </c>
    </row>
    <row r="21" spans="1:10" ht="24.95" customHeight="1" thickBot="1" x14ac:dyDescent="0.3">
      <c r="A21" s="31" t="s">
        <v>39</v>
      </c>
    </row>
    <row r="22" spans="1:10" ht="24.95" customHeight="1" x14ac:dyDescent="0.25"/>
    <row r="23" spans="1:10" ht="24.95" customHeight="1" x14ac:dyDescent="0.25"/>
    <row r="24" spans="1:10" ht="24.95" customHeight="1" thickBot="1" x14ac:dyDescent="0.3">
      <c r="A24" t="s">
        <v>22</v>
      </c>
      <c r="B24" s="68"/>
      <c r="C24" s="68"/>
      <c r="D24" s="68"/>
      <c r="E24" s="68"/>
      <c r="F24" s="68"/>
      <c r="G24" s="68"/>
      <c r="H24" s="68"/>
      <c r="I24" s="68"/>
      <c r="J24" s="68"/>
    </row>
    <row r="25" spans="1:10" ht="24.95" customHeight="1" x14ac:dyDescent="0.25">
      <c r="A25" s="4" t="s">
        <v>23</v>
      </c>
      <c r="B25" s="68"/>
      <c r="C25" s="68"/>
      <c r="D25" s="68"/>
      <c r="E25" s="68"/>
      <c r="F25" s="68"/>
      <c r="G25" s="68"/>
      <c r="H25" s="68"/>
      <c r="I25" s="68"/>
      <c r="J25" s="68"/>
    </row>
    <row r="26" spans="1:10" ht="24.95" customHeight="1" x14ac:dyDescent="0.25">
      <c r="A26" s="5" t="s">
        <v>24</v>
      </c>
      <c r="B26" s="68"/>
      <c r="C26" s="68"/>
      <c r="D26" s="68"/>
      <c r="E26" s="68"/>
      <c r="F26" s="68"/>
      <c r="G26" s="68"/>
      <c r="H26" s="68"/>
      <c r="I26" s="68"/>
      <c r="J26" s="68"/>
    </row>
    <row r="27" spans="1:10" ht="24.95" customHeight="1" x14ac:dyDescent="0.25">
      <c r="A27" s="5" t="s">
        <v>25</v>
      </c>
      <c r="B27" s="68"/>
      <c r="C27" s="68"/>
      <c r="D27" s="68"/>
      <c r="E27" s="68"/>
      <c r="F27" s="68"/>
      <c r="G27" s="68"/>
      <c r="H27" s="68"/>
      <c r="I27" s="68"/>
      <c r="J27" s="68"/>
    </row>
    <row r="28" spans="1:10" ht="24.95" customHeight="1" x14ac:dyDescent="0.25">
      <c r="A28" s="5"/>
      <c r="B28" s="68"/>
      <c r="C28" s="68"/>
      <c r="D28" s="68"/>
      <c r="E28" s="68"/>
      <c r="F28" s="68"/>
      <c r="G28" s="68"/>
      <c r="H28" s="68"/>
      <c r="I28" s="68"/>
      <c r="J28" s="68"/>
    </row>
    <row r="29" spans="1:10" ht="24.95" customHeight="1" x14ac:dyDescent="0.25">
      <c r="A29" s="5"/>
      <c r="B29" s="68"/>
      <c r="C29" s="68"/>
      <c r="D29" s="68"/>
      <c r="E29" s="68"/>
      <c r="F29" s="68"/>
      <c r="G29" s="68"/>
      <c r="H29" s="68"/>
      <c r="I29" s="68"/>
      <c r="J29" s="68"/>
    </row>
    <row r="30" spans="1:10" ht="24.95" customHeight="1" thickBot="1" x14ac:dyDescent="0.3">
      <c r="A30" s="6"/>
      <c r="B30" s="68"/>
      <c r="C30" s="68"/>
      <c r="D30" s="68"/>
      <c r="E30" s="68"/>
      <c r="F30" s="68"/>
      <c r="G30" s="68"/>
      <c r="H30" s="68"/>
      <c r="I30" s="68"/>
      <c r="J30" s="68"/>
    </row>
    <row r="31" spans="1:10" ht="24.95" customHeight="1" x14ac:dyDescent="0.25">
      <c r="B31" s="68"/>
      <c r="C31" s="68"/>
      <c r="D31" s="68"/>
      <c r="E31" s="68"/>
      <c r="F31" s="68"/>
      <c r="G31" s="68"/>
      <c r="H31" s="68"/>
      <c r="I31" s="68"/>
      <c r="J31" s="68"/>
    </row>
    <row r="32" spans="1:10" ht="24.95" customHeight="1" x14ac:dyDescent="0.25">
      <c r="B32" s="68"/>
      <c r="C32" s="68"/>
      <c r="D32" s="68"/>
      <c r="E32" s="68"/>
      <c r="F32" s="68"/>
      <c r="G32" s="68"/>
      <c r="H32" s="68"/>
      <c r="I32" s="68"/>
      <c r="J32" s="68"/>
    </row>
    <row r="33" spans="1:10" ht="24.95" customHeight="1" x14ac:dyDescent="0.25">
      <c r="A33" t="s">
        <v>30</v>
      </c>
      <c r="B33" s="68"/>
      <c r="C33" s="68"/>
      <c r="D33" s="68"/>
      <c r="E33" s="68"/>
      <c r="F33" s="68"/>
      <c r="G33" s="68"/>
      <c r="H33" s="68"/>
      <c r="I33" s="68"/>
      <c r="J33" s="68"/>
    </row>
    <row r="34" spans="1:10" ht="24.95" customHeight="1" x14ac:dyDescent="0.25">
      <c r="A34" t="s">
        <v>31</v>
      </c>
      <c r="B34" s="69"/>
      <c r="C34" s="68"/>
      <c r="D34" s="68"/>
      <c r="E34" s="68"/>
      <c r="F34" s="68"/>
      <c r="G34" s="68"/>
      <c r="H34" s="68"/>
      <c r="I34" s="68"/>
      <c r="J34" s="68"/>
    </row>
    <row r="35" spans="1:10" ht="24.95" customHeight="1" x14ac:dyDescent="0.25">
      <c r="A35" t="s">
        <v>32</v>
      </c>
      <c r="B35" s="70" t="s">
        <v>32</v>
      </c>
      <c r="C35" s="68"/>
      <c r="D35" s="68"/>
      <c r="E35" s="68"/>
      <c r="F35" s="68"/>
      <c r="G35" s="68"/>
      <c r="H35" s="68"/>
      <c r="I35" s="68"/>
      <c r="J35" s="68"/>
    </row>
    <row r="36" spans="1:10" ht="24.95" customHeight="1" x14ac:dyDescent="0.25">
      <c r="B36" s="68"/>
      <c r="C36" s="68"/>
      <c r="D36" s="68"/>
      <c r="E36" s="68"/>
      <c r="F36" s="68"/>
      <c r="G36" s="68"/>
      <c r="H36" s="68"/>
      <c r="I36" s="68"/>
      <c r="J36" s="68"/>
    </row>
    <row r="37" spans="1:10" ht="24.95" customHeight="1" thickBot="1" x14ac:dyDescent="0.3">
      <c r="B37" s="68"/>
      <c r="C37" s="68"/>
      <c r="D37" s="68"/>
      <c r="E37" s="68"/>
      <c r="F37" s="68"/>
      <c r="G37" s="68"/>
      <c r="H37" s="68"/>
      <c r="I37" s="68"/>
      <c r="J37" s="68"/>
    </row>
    <row r="38" spans="1:10" ht="24.95" customHeight="1" thickBot="1" x14ac:dyDescent="0.3">
      <c r="A38" s="83" t="s">
        <v>52</v>
      </c>
      <c r="B38" s="68"/>
      <c r="C38" s="68"/>
      <c r="D38" s="68"/>
      <c r="E38" s="68"/>
      <c r="F38" s="68"/>
      <c r="G38" s="68"/>
      <c r="H38" s="68"/>
      <c r="I38" s="68"/>
      <c r="J38" s="68"/>
    </row>
    <row r="39" spans="1:10" ht="24.95" customHeight="1" x14ac:dyDescent="0.25">
      <c r="A39" s="5" t="s">
        <v>175</v>
      </c>
      <c r="B39" s="68"/>
      <c r="C39" s="68"/>
      <c r="D39" s="68"/>
      <c r="E39" s="68"/>
      <c r="F39" s="68"/>
      <c r="G39" s="68"/>
      <c r="H39" s="68"/>
      <c r="I39" s="68"/>
      <c r="J39" s="68"/>
    </row>
    <row r="40" spans="1:10" ht="24.95" customHeight="1" x14ac:dyDescent="0.25">
      <c r="A40" s="5" t="s">
        <v>53</v>
      </c>
      <c r="B40" s="68"/>
      <c r="C40" s="68"/>
      <c r="D40" s="68"/>
      <c r="E40" s="68"/>
      <c r="F40" s="68"/>
      <c r="G40" s="68"/>
      <c r="H40" s="68"/>
      <c r="I40" s="68"/>
      <c r="J40" s="68"/>
    </row>
    <row r="41" spans="1:10" ht="24.95" customHeight="1" x14ac:dyDescent="0.25">
      <c r="A41" s="5" t="s">
        <v>54</v>
      </c>
      <c r="B41" s="68"/>
      <c r="C41" s="68"/>
      <c r="D41" s="68"/>
      <c r="E41" s="68"/>
      <c r="F41" s="68"/>
      <c r="G41" s="68"/>
      <c r="H41" s="68"/>
      <c r="I41" s="68"/>
      <c r="J41" s="68"/>
    </row>
    <row r="42" spans="1:10" ht="24.95" customHeight="1" x14ac:dyDescent="0.25">
      <c r="A42" s="5" t="s">
        <v>176</v>
      </c>
      <c r="B42" s="68"/>
      <c r="C42" s="68"/>
      <c r="D42" s="68"/>
      <c r="E42" s="68"/>
      <c r="F42" s="68"/>
      <c r="G42" s="68"/>
      <c r="H42" s="68"/>
      <c r="I42" s="68"/>
      <c r="J42" s="68"/>
    </row>
    <row r="43" spans="1:10" ht="24.95" customHeight="1" x14ac:dyDescent="0.25">
      <c r="A43" s="5" t="s">
        <v>172</v>
      </c>
      <c r="B43" s="68"/>
      <c r="C43" s="68"/>
      <c r="D43" s="68"/>
      <c r="E43" s="68"/>
      <c r="F43" s="68"/>
      <c r="G43" s="68"/>
      <c r="H43" s="68"/>
      <c r="I43" s="68"/>
      <c r="J43" s="68"/>
    </row>
    <row r="44" spans="1:10" ht="24.95" customHeight="1" thickBot="1" x14ac:dyDescent="0.3">
      <c r="A44" s="6" t="s">
        <v>55</v>
      </c>
      <c r="B44" s="68"/>
      <c r="C44" s="68"/>
      <c r="D44" s="68"/>
      <c r="E44" s="68"/>
      <c r="F44" s="68"/>
      <c r="G44" s="68"/>
      <c r="H44" s="68"/>
      <c r="I44" s="68"/>
      <c r="J44" s="68"/>
    </row>
    <row r="45" spans="1:10" ht="24.95" customHeight="1" x14ac:dyDescent="0.25">
      <c r="A45" s="12"/>
      <c r="B45" s="68"/>
      <c r="C45" s="68"/>
      <c r="D45" s="68"/>
      <c r="E45" s="68"/>
      <c r="F45" s="68"/>
      <c r="G45" s="68"/>
      <c r="H45" s="68"/>
      <c r="I45" s="68"/>
      <c r="J45" s="68"/>
    </row>
    <row r="46" spans="1:10" ht="24.95" customHeight="1" x14ac:dyDescent="0.25">
      <c r="A46" s="12"/>
      <c r="B46" s="68"/>
      <c r="C46" s="68"/>
      <c r="D46" s="68"/>
      <c r="E46" s="68"/>
      <c r="F46" s="68"/>
      <c r="G46" s="68"/>
      <c r="H46" s="68"/>
      <c r="I46" s="68"/>
      <c r="J46" s="68"/>
    </row>
    <row r="47" spans="1:10" ht="24.95" customHeight="1" x14ac:dyDescent="0.25">
      <c r="B47" s="68"/>
      <c r="C47" s="68"/>
      <c r="D47" s="68"/>
      <c r="E47" s="68"/>
      <c r="F47" s="68"/>
      <c r="G47" s="68"/>
      <c r="H47" s="68"/>
      <c r="I47" s="68"/>
      <c r="J47" s="68"/>
    </row>
    <row r="48" spans="1:10" ht="24.95" customHeight="1" x14ac:dyDescent="0.25">
      <c r="A48" t="s">
        <v>56</v>
      </c>
      <c r="B48" s="68">
        <v>25</v>
      </c>
      <c r="C48" s="68"/>
      <c r="D48" s="68"/>
      <c r="E48" s="68"/>
      <c r="F48" s="68"/>
      <c r="G48" s="68"/>
      <c r="H48" s="68"/>
      <c r="I48" s="68"/>
      <c r="J48" s="68"/>
    </row>
    <row r="49" spans="1:10" ht="24.95" customHeight="1" x14ac:dyDescent="0.25">
      <c r="A49" t="s">
        <v>57</v>
      </c>
      <c r="B49" s="68">
        <v>10</v>
      </c>
      <c r="C49" s="68"/>
      <c r="D49" s="68"/>
      <c r="E49" s="68"/>
      <c r="F49" s="68"/>
      <c r="G49" s="68"/>
      <c r="H49" s="68"/>
      <c r="I49" s="68"/>
      <c r="J49" s="68"/>
    </row>
    <row r="50" spans="1:10" ht="24.95" customHeight="1" x14ac:dyDescent="0.25">
      <c r="B50" s="68"/>
      <c r="C50" s="68"/>
      <c r="D50" s="68"/>
      <c r="E50" s="68"/>
      <c r="F50" s="68"/>
      <c r="G50" s="68"/>
      <c r="H50" s="68"/>
      <c r="I50" s="68"/>
      <c r="J50" s="68"/>
    </row>
    <row r="51" spans="1:10" ht="24.95" customHeight="1" x14ac:dyDescent="0.25">
      <c r="B51" s="68"/>
      <c r="C51" s="68"/>
      <c r="D51" s="68"/>
      <c r="E51" s="68"/>
      <c r="F51" s="68"/>
      <c r="G51" s="68"/>
      <c r="H51" s="68"/>
      <c r="I51" s="68"/>
      <c r="J51" s="68"/>
    </row>
    <row r="52" spans="1:10" ht="24.95" customHeight="1" thickBot="1" x14ac:dyDescent="0.3">
      <c r="A52" s="27" t="s">
        <v>58</v>
      </c>
      <c r="B52" s="71" t="s">
        <v>59</v>
      </c>
      <c r="C52" s="68"/>
      <c r="D52" s="68"/>
      <c r="E52" s="68"/>
      <c r="F52" s="68"/>
      <c r="G52" s="68"/>
      <c r="H52" s="68"/>
      <c r="I52" s="68"/>
      <c r="J52" s="68"/>
    </row>
    <row r="53" spans="1:10" ht="24.95" customHeight="1" x14ac:dyDescent="0.25">
      <c r="A53" s="18" t="s">
        <v>60</v>
      </c>
      <c r="B53" s="72" t="s">
        <v>155</v>
      </c>
      <c r="C53" s="68"/>
      <c r="D53" s="68"/>
      <c r="E53" s="68"/>
      <c r="F53" s="68"/>
      <c r="G53" s="68"/>
      <c r="H53" s="68"/>
      <c r="I53" s="68"/>
      <c r="J53" s="68"/>
    </row>
    <row r="54" spans="1:10" ht="24.95" customHeight="1" x14ac:dyDescent="0.25">
      <c r="A54" s="11" t="s">
        <v>61</v>
      </c>
      <c r="B54" s="73" t="s">
        <v>63</v>
      </c>
      <c r="C54" s="68"/>
      <c r="D54" s="68"/>
      <c r="E54" s="68"/>
      <c r="F54" s="68"/>
      <c r="G54" s="68"/>
      <c r="H54" s="68"/>
      <c r="I54" s="68"/>
      <c r="J54" s="68"/>
    </row>
    <row r="55" spans="1:10" ht="15.75" thickBot="1" x14ac:dyDescent="0.3">
      <c r="A55" s="13" t="s">
        <v>62</v>
      </c>
      <c r="B55" s="9" t="s">
        <v>64</v>
      </c>
    </row>
    <row r="59" spans="1:10" x14ac:dyDescent="0.25">
      <c r="A59" t="s">
        <v>65</v>
      </c>
      <c r="B59" t="s">
        <v>66</v>
      </c>
    </row>
    <row r="62" spans="1:10" ht="15.75" thickBot="1" x14ac:dyDescent="0.3">
      <c r="A62" s="27" t="s">
        <v>149</v>
      </c>
    </row>
    <row r="63" spans="1:10" x14ac:dyDescent="0.25">
      <c r="A63" s="74" t="s">
        <v>178</v>
      </c>
    </row>
    <row r="64" spans="1:10" ht="15.75" thickBot="1" x14ac:dyDescent="0.3">
      <c r="A64" s="75" t="s">
        <v>148</v>
      </c>
    </row>
    <row r="67" spans="1:9" x14ac:dyDescent="0.25">
      <c r="A67" t="s">
        <v>181</v>
      </c>
    </row>
    <row r="68" spans="1:9" ht="30.75" thickBot="1" x14ac:dyDescent="0.3">
      <c r="A68" t="s">
        <v>172</v>
      </c>
      <c r="B68" s="94" t="s">
        <v>182</v>
      </c>
      <c r="C68" s="95" t="s">
        <v>184</v>
      </c>
      <c r="D68" s="95" t="s">
        <v>185</v>
      </c>
      <c r="E68" s="95" t="s">
        <v>186</v>
      </c>
      <c r="F68" s="95" t="s">
        <v>23</v>
      </c>
      <c r="G68" s="96">
        <v>443</v>
      </c>
      <c r="H68" s="95" t="s">
        <v>183</v>
      </c>
      <c r="I68" s="95" t="s">
        <v>187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49" r:id="rId4" name="TextBoxObligatoireVide">
          <controlPr defaultSize="0" autoLine="0" r:id="rId5">
            <anchor moveWithCells="1">
              <from>
                <xdr:col>1</xdr:col>
                <xdr:colOff>0</xdr:colOff>
                <xdr:row>36</xdr:row>
                <xdr:rowOff>9525</xdr:rowOff>
              </from>
              <to>
                <xdr:col>1</xdr:col>
                <xdr:colOff>1076325</xdr:colOff>
                <xdr:row>36</xdr:row>
                <xdr:rowOff>190500</xdr:rowOff>
              </to>
            </anchor>
          </controlPr>
        </control>
      </mc:Choice>
      <mc:Fallback>
        <control shapeId="2049" r:id="rId4" name="TextBoxObligatoireVid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F33"/>
  <sheetViews>
    <sheetView showGridLines="0" workbookViewId="0">
      <selection activeCell="C10" sqref="A10:C10"/>
    </sheetView>
  </sheetViews>
  <sheetFormatPr baseColWidth="10" defaultRowHeight="15" x14ac:dyDescent="0.25"/>
  <cols>
    <col min="1" max="1" width="7.85546875" bestFit="1" customWidth="1"/>
    <col min="2" max="2" width="8.5703125" bestFit="1" customWidth="1"/>
    <col min="3" max="3" width="15.42578125" bestFit="1" customWidth="1"/>
    <col min="4" max="4" width="16.85546875" bestFit="1" customWidth="1"/>
    <col min="5" max="5" width="9.42578125" bestFit="1" customWidth="1"/>
    <col min="6" max="6" width="39.5703125" bestFit="1" customWidth="1"/>
  </cols>
  <sheetData>
    <row r="1" spans="1:6" ht="36.75" customHeight="1" x14ac:dyDescent="0.35">
      <c r="A1" s="115" t="s">
        <v>67</v>
      </c>
      <c r="B1" s="115"/>
      <c r="C1" s="115"/>
      <c r="D1" s="115"/>
      <c r="E1" s="115"/>
      <c r="F1" s="38"/>
    </row>
    <row r="3" spans="1:6" x14ac:dyDescent="0.25">
      <c r="A3" s="39" t="s">
        <v>68</v>
      </c>
      <c r="B3" s="39" t="s">
        <v>69</v>
      </c>
      <c r="C3" s="39" t="s">
        <v>70</v>
      </c>
      <c r="D3" s="39" t="s">
        <v>71</v>
      </c>
      <c r="E3" s="39" t="s">
        <v>72</v>
      </c>
      <c r="F3" s="39" t="s">
        <v>73</v>
      </c>
    </row>
    <row r="4" spans="1:6" x14ac:dyDescent="0.25">
      <c r="A4" s="41"/>
      <c r="B4" s="3"/>
      <c r="C4" s="3"/>
      <c r="D4" s="3"/>
      <c r="E4" s="59"/>
      <c r="F4" s="60"/>
    </row>
    <row r="5" spans="1:6" x14ac:dyDescent="0.25">
      <c r="A5" s="41"/>
      <c r="B5" s="3"/>
      <c r="C5" s="3"/>
      <c r="D5" s="3"/>
      <c r="E5" s="59"/>
      <c r="F5" s="60"/>
    </row>
    <row r="6" spans="1:6" x14ac:dyDescent="0.25">
      <c r="A6" s="41"/>
      <c r="B6" s="3"/>
      <c r="C6" s="3"/>
      <c r="D6" s="3"/>
      <c r="E6" s="3"/>
      <c r="F6" s="41"/>
    </row>
    <row r="7" spans="1:6" x14ac:dyDescent="0.25">
      <c r="A7" s="41"/>
      <c r="B7" s="3"/>
      <c r="C7" s="3"/>
      <c r="D7" s="3"/>
      <c r="E7" s="3"/>
      <c r="F7" s="41"/>
    </row>
    <row r="8" spans="1:6" x14ac:dyDescent="0.25">
      <c r="A8" s="41"/>
      <c r="B8" s="3"/>
      <c r="C8" s="3"/>
      <c r="D8" s="3"/>
      <c r="E8" s="59"/>
      <c r="F8" s="60"/>
    </row>
    <row r="9" spans="1:6" x14ac:dyDescent="0.25">
      <c r="A9" s="41"/>
      <c r="B9" s="3"/>
      <c r="C9" s="3"/>
      <c r="D9" s="3"/>
      <c r="E9" s="3"/>
      <c r="F9" s="41"/>
    </row>
    <row r="10" spans="1:6" x14ac:dyDescent="0.25">
      <c r="A10" s="41"/>
      <c r="B10" s="3"/>
      <c r="C10" s="3"/>
      <c r="D10" s="3"/>
      <c r="E10" s="3"/>
      <c r="F10" s="41"/>
    </row>
    <row r="11" spans="1:6" x14ac:dyDescent="0.25">
      <c r="A11" s="41"/>
      <c r="B11" s="3"/>
      <c r="C11" s="3"/>
      <c r="D11" s="3"/>
      <c r="E11" s="3"/>
      <c r="F11" s="41"/>
    </row>
    <row r="12" spans="1:6" x14ac:dyDescent="0.25">
      <c r="A12" s="41"/>
      <c r="B12" s="3"/>
      <c r="C12" s="3"/>
      <c r="D12" s="3"/>
      <c r="E12" s="3"/>
      <c r="F12" s="41"/>
    </row>
    <row r="13" spans="1:6" x14ac:dyDescent="0.25">
      <c r="A13" s="41"/>
      <c r="B13" s="3"/>
      <c r="C13" s="3"/>
      <c r="D13" s="3"/>
      <c r="E13" s="3"/>
      <c r="F13" s="41"/>
    </row>
    <row r="14" spans="1:6" x14ac:dyDescent="0.25">
      <c r="A14" s="41"/>
      <c r="B14" s="3"/>
      <c r="C14" s="3"/>
      <c r="D14" s="3"/>
      <c r="E14" s="3"/>
      <c r="F14" s="41"/>
    </row>
    <row r="15" spans="1:6" x14ac:dyDescent="0.25">
      <c r="A15" s="41"/>
      <c r="B15" s="3"/>
      <c r="C15" s="3"/>
      <c r="D15" s="3"/>
      <c r="E15" s="3"/>
      <c r="F15" s="41"/>
    </row>
    <row r="16" spans="1:6" x14ac:dyDescent="0.25">
      <c r="A16" s="41"/>
      <c r="B16" s="3"/>
      <c r="C16" s="3"/>
      <c r="D16" s="3"/>
      <c r="E16" s="3"/>
      <c r="F16" s="41"/>
    </row>
    <row r="17" spans="1:6" x14ac:dyDescent="0.25">
      <c r="A17" s="41"/>
      <c r="B17" s="3"/>
      <c r="C17" s="3"/>
      <c r="D17" s="3"/>
      <c r="E17" s="3"/>
      <c r="F17" s="41"/>
    </row>
    <row r="18" spans="1:6" x14ac:dyDescent="0.25">
      <c r="A18" s="41"/>
      <c r="B18" s="3"/>
      <c r="C18" s="3"/>
      <c r="D18" s="3"/>
      <c r="E18" s="3"/>
      <c r="F18" s="41"/>
    </row>
    <row r="19" spans="1:6" x14ac:dyDescent="0.25">
      <c r="A19" s="41"/>
      <c r="B19" s="3"/>
      <c r="C19" s="3"/>
      <c r="D19" s="3"/>
      <c r="E19" s="3"/>
      <c r="F19" s="41"/>
    </row>
    <row r="20" spans="1:6" x14ac:dyDescent="0.25">
      <c r="A20" s="41"/>
      <c r="B20" s="3"/>
      <c r="C20" s="3"/>
      <c r="D20" s="3"/>
      <c r="E20" s="3"/>
      <c r="F20" s="41"/>
    </row>
    <row r="21" spans="1:6" x14ac:dyDescent="0.25">
      <c r="A21" s="41"/>
      <c r="B21" s="3"/>
      <c r="C21" s="3"/>
      <c r="D21" s="3"/>
      <c r="E21" s="3"/>
      <c r="F21" s="41"/>
    </row>
    <row r="22" spans="1:6" x14ac:dyDescent="0.25">
      <c r="A22" s="41"/>
      <c r="B22" s="3"/>
      <c r="C22" s="3"/>
      <c r="D22" s="3"/>
      <c r="E22" s="3"/>
      <c r="F22" s="41"/>
    </row>
    <row r="23" spans="1:6" x14ac:dyDescent="0.25">
      <c r="A23" s="41"/>
      <c r="B23" s="3"/>
      <c r="C23" s="3"/>
      <c r="D23" s="3"/>
      <c r="E23" s="3"/>
      <c r="F23" s="41"/>
    </row>
    <row r="24" spans="1:6" x14ac:dyDescent="0.25">
      <c r="A24" s="41"/>
      <c r="B24" s="3"/>
      <c r="C24" s="3"/>
      <c r="D24" s="3"/>
      <c r="E24" s="3"/>
      <c r="F24" s="41"/>
    </row>
    <row r="25" spans="1:6" x14ac:dyDescent="0.25">
      <c r="A25" s="41"/>
      <c r="B25" s="3"/>
      <c r="C25" s="3"/>
      <c r="D25" s="3"/>
      <c r="E25" s="3"/>
      <c r="F25" s="41"/>
    </row>
    <row r="26" spans="1:6" x14ac:dyDescent="0.25">
      <c r="A26" s="41"/>
      <c r="B26" s="3"/>
      <c r="C26" s="3"/>
      <c r="D26" s="3"/>
      <c r="E26" s="3"/>
      <c r="F26" s="41"/>
    </row>
    <row r="27" spans="1:6" x14ac:dyDescent="0.25">
      <c r="A27" s="41"/>
      <c r="B27" s="3"/>
      <c r="C27" s="3"/>
      <c r="D27" s="3"/>
      <c r="E27" s="3"/>
      <c r="F27" s="41"/>
    </row>
    <row r="28" spans="1:6" x14ac:dyDescent="0.25">
      <c r="A28" s="41"/>
      <c r="B28" s="3"/>
      <c r="C28" s="3"/>
      <c r="D28" s="3"/>
      <c r="E28" s="3"/>
      <c r="F28" s="41"/>
    </row>
    <row r="29" spans="1:6" x14ac:dyDescent="0.25">
      <c r="A29" s="41"/>
      <c r="B29" s="3"/>
      <c r="C29" s="3"/>
      <c r="D29" s="3"/>
      <c r="E29" s="3"/>
      <c r="F29" s="41"/>
    </row>
    <row r="30" spans="1:6" x14ac:dyDescent="0.25">
      <c r="A30" s="41"/>
      <c r="B30" s="3"/>
      <c r="C30" s="3"/>
      <c r="D30" s="3"/>
      <c r="E30" s="3"/>
      <c r="F30" s="41"/>
    </row>
    <row r="31" spans="1:6" x14ac:dyDescent="0.25">
      <c r="A31" s="41"/>
      <c r="B31" s="3"/>
      <c r="C31" s="3"/>
      <c r="D31" s="3"/>
      <c r="E31" s="3"/>
      <c r="F31" s="41"/>
    </row>
    <row r="32" spans="1:6" x14ac:dyDescent="0.25">
      <c r="A32" s="41"/>
      <c r="B32" s="3"/>
      <c r="C32" s="3"/>
      <c r="D32" s="3"/>
      <c r="E32" s="3"/>
      <c r="F32" s="41"/>
    </row>
    <row r="33" spans="1:6" x14ac:dyDescent="0.25">
      <c r="A33" s="41"/>
      <c r="B33" s="3"/>
      <c r="C33" s="3"/>
      <c r="D33" s="3"/>
      <c r="E33" s="3"/>
      <c r="F33" s="41"/>
    </row>
  </sheetData>
  <mergeCells count="1">
    <mergeCell ref="A1:E1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3073" r:id="rId4" name="GenerTraitement2">
          <controlPr defaultSize="0" autoLine="0" autoPict="0" r:id="rId5">
            <anchor moveWithCells="1">
              <from>
                <xdr:col>5</xdr:col>
                <xdr:colOff>9525</xdr:colOff>
                <xdr:row>0</xdr:row>
                <xdr:rowOff>85725</xdr:rowOff>
              </from>
              <to>
                <xdr:col>5</xdr:col>
                <xdr:colOff>1866900</xdr:colOff>
                <xdr:row>0</xdr:row>
                <xdr:rowOff>409575</xdr:rowOff>
              </to>
            </anchor>
          </controlPr>
        </control>
      </mc:Choice>
      <mc:Fallback>
        <control shapeId="3073" r:id="rId4" name="GenerTraitement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5:L154"/>
  <sheetViews>
    <sheetView showGridLines="0" topLeftCell="A50" workbookViewId="0">
      <selection activeCell="G99" sqref="G99"/>
    </sheetView>
  </sheetViews>
  <sheetFormatPr baseColWidth="10" defaultRowHeight="15" x14ac:dyDescent="0.25"/>
  <cols>
    <col min="1" max="1" width="25.7109375" customWidth="1"/>
    <col min="2" max="2" width="21" customWidth="1"/>
    <col min="3" max="3" width="14.85546875" customWidth="1"/>
    <col min="4" max="4" width="17.42578125" customWidth="1"/>
    <col min="6" max="6" width="16.5703125" customWidth="1"/>
    <col min="7" max="7" width="15.7109375" customWidth="1"/>
    <col min="11" max="11" width="19.140625" customWidth="1"/>
  </cols>
  <sheetData>
    <row r="5" spans="1:7" x14ac:dyDescent="0.25">
      <c r="A5" s="50" t="s">
        <v>116</v>
      </c>
    </row>
    <row r="7" spans="1:7" x14ac:dyDescent="0.25">
      <c r="A7" s="49" t="s">
        <v>1</v>
      </c>
    </row>
    <row r="8" spans="1:7" x14ac:dyDescent="0.25">
      <c r="A8" s="49"/>
    </row>
    <row r="9" spans="1:7" x14ac:dyDescent="0.25">
      <c r="A9" t="s">
        <v>113</v>
      </c>
    </row>
    <row r="10" spans="1:7" x14ac:dyDescent="0.25">
      <c r="D10" s="49"/>
    </row>
    <row r="11" spans="1:7" x14ac:dyDescent="0.25">
      <c r="B11" t="s">
        <v>83</v>
      </c>
    </row>
    <row r="13" spans="1:7" x14ac:dyDescent="0.25">
      <c r="A13" s="43" t="s">
        <v>84</v>
      </c>
      <c r="B13" s="43"/>
      <c r="C13" s="43"/>
      <c r="D13" s="43"/>
      <c r="E13" s="43"/>
      <c r="F13" s="43"/>
      <c r="G13" s="43"/>
    </row>
    <row r="14" spans="1:7" x14ac:dyDescent="0.25">
      <c r="A14" s="17" t="s">
        <v>85</v>
      </c>
      <c r="B14" s="17"/>
      <c r="C14" s="17"/>
      <c r="D14" s="17"/>
      <c r="E14" s="17"/>
    </row>
    <row r="15" spans="1:7" x14ac:dyDescent="0.25">
      <c r="A15" s="17" t="s">
        <v>86</v>
      </c>
      <c r="B15" s="17"/>
      <c r="C15" s="17" t="s">
        <v>87</v>
      </c>
      <c r="D15" s="17"/>
      <c r="E15" s="17" t="s">
        <v>88</v>
      </c>
    </row>
    <row r="16" spans="1:7" x14ac:dyDescent="0.25">
      <c r="A16" s="17" t="s">
        <v>89</v>
      </c>
      <c r="B16" s="17"/>
      <c r="C16" s="17" t="s">
        <v>90</v>
      </c>
      <c r="D16" s="17"/>
      <c r="E16" s="17" t="s">
        <v>16</v>
      </c>
    </row>
    <row r="17" spans="1:7" x14ac:dyDescent="0.25">
      <c r="A17" s="17" t="s">
        <v>34</v>
      </c>
      <c r="B17" s="17"/>
      <c r="C17" s="17"/>
      <c r="D17" s="17"/>
      <c r="E17" s="17"/>
    </row>
    <row r="20" spans="1:7" x14ac:dyDescent="0.25">
      <c r="A20" s="43" t="s">
        <v>91</v>
      </c>
      <c r="B20" s="43"/>
      <c r="C20" s="43"/>
      <c r="D20" s="43"/>
      <c r="E20" s="43"/>
      <c r="F20" s="43"/>
      <c r="G20" s="43"/>
    </row>
    <row r="21" spans="1:7" x14ac:dyDescent="0.25">
      <c r="A21" s="17" t="s">
        <v>86</v>
      </c>
      <c r="B21" s="17"/>
      <c r="C21" s="17" t="s">
        <v>87</v>
      </c>
      <c r="D21" s="17"/>
      <c r="E21" s="17" t="s">
        <v>88</v>
      </c>
      <c r="F21" s="17"/>
    </row>
    <row r="22" spans="1:7" x14ac:dyDescent="0.25">
      <c r="A22" s="17" t="s">
        <v>92</v>
      </c>
      <c r="B22" s="17"/>
      <c r="C22" s="17" t="s">
        <v>15</v>
      </c>
      <c r="D22" s="17"/>
      <c r="E22" s="17" t="s">
        <v>93</v>
      </c>
      <c r="F22" s="17"/>
    </row>
    <row r="23" spans="1:7" x14ac:dyDescent="0.25">
      <c r="A23" s="45" t="s">
        <v>94</v>
      </c>
      <c r="B23" s="17"/>
      <c r="C23" s="17"/>
      <c r="D23" s="17"/>
      <c r="E23" s="17"/>
      <c r="F23" s="17"/>
    </row>
    <row r="26" spans="1:7" x14ac:dyDescent="0.25">
      <c r="A26" s="43" t="s">
        <v>95</v>
      </c>
      <c r="B26" s="43"/>
      <c r="C26" s="43"/>
      <c r="D26" s="43"/>
      <c r="E26" s="43"/>
      <c r="F26" s="43"/>
      <c r="G26" s="43"/>
    </row>
    <row r="27" spans="1:7" x14ac:dyDescent="0.25">
      <c r="A27" s="17" t="s">
        <v>85</v>
      </c>
      <c r="B27" s="17"/>
      <c r="C27" s="17"/>
      <c r="D27" s="17"/>
      <c r="E27" s="17"/>
      <c r="F27" s="17"/>
    </row>
    <row r="28" spans="1:7" x14ac:dyDescent="0.25">
      <c r="A28" s="17" t="s">
        <v>86</v>
      </c>
      <c r="B28" s="17"/>
      <c r="C28" s="17" t="s">
        <v>87</v>
      </c>
      <c r="D28" s="17"/>
      <c r="E28" s="17" t="s">
        <v>88</v>
      </c>
      <c r="F28" s="17"/>
    </row>
    <row r="29" spans="1:7" x14ac:dyDescent="0.25">
      <c r="A29" s="17" t="s">
        <v>96</v>
      </c>
      <c r="B29" s="17"/>
      <c r="C29" s="17" t="s">
        <v>90</v>
      </c>
      <c r="D29" s="17"/>
      <c r="E29" s="17" t="s">
        <v>16</v>
      </c>
      <c r="F29" s="17"/>
    </row>
    <row r="30" spans="1:7" s="17" customFormat="1" x14ac:dyDescent="0.25">
      <c r="A30" s="44" t="s">
        <v>47</v>
      </c>
      <c r="C30" s="45" t="s">
        <v>34</v>
      </c>
      <c r="D30" s="45"/>
      <c r="E30" s="45"/>
    </row>
    <row r="31" spans="1:7" s="17" customFormat="1" x14ac:dyDescent="0.25"/>
    <row r="32" spans="1:7" s="17" customFormat="1" x14ac:dyDescent="0.25"/>
    <row r="33" spans="1:7" s="17" customFormat="1" x14ac:dyDescent="0.25">
      <c r="A33" s="46" t="s">
        <v>97</v>
      </c>
      <c r="B33" s="46"/>
      <c r="C33" s="56"/>
      <c r="D33" s="56"/>
      <c r="E33" s="56"/>
      <c r="F33" s="56"/>
      <c r="G33" s="43"/>
    </row>
    <row r="34" spans="1:7" s="17" customFormat="1" x14ac:dyDescent="0.25">
      <c r="A34" s="45" t="s">
        <v>85</v>
      </c>
      <c r="B34" s="47"/>
      <c r="C34" s="47"/>
      <c r="D34" s="47"/>
      <c r="E34" s="47"/>
      <c r="F34" s="47"/>
    </row>
    <row r="35" spans="1:7" s="48" customFormat="1" x14ac:dyDescent="0.25">
      <c r="A35" s="45" t="s">
        <v>86</v>
      </c>
      <c r="B35" s="45"/>
      <c r="C35" s="45" t="s">
        <v>87</v>
      </c>
      <c r="D35" s="45"/>
      <c r="E35" s="45" t="s">
        <v>88</v>
      </c>
      <c r="F35" s="45"/>
    </row>
    <row r="36" spans="1:7" s="48" customFormat="1" x14ac:dyDescent="0.25">
      <c r="A36" s="45" t="s">
        <v>98</v>
      </c>
      <c r="B36" s="45"/>
      <c r="C36" s="45" t="s">
        <v>99</v>
      </c>
      <c r="D36" s="45"/>
      <c r="E36" s="45"/>
      <c r="F36" s="45"/>
    </row>
    <row r="37" spans="1:7" s="48" customFormat="1" x14ac:dyDescent="0.25">
      <c r="A37" s="45" t="s">
        <v>36</v>
      </c>
      <c r="B37" s="45"/>
      <c r="C37" s="47"/>
      <c r="D37" s="47"/>
      <c r="E37" s="47"/>
      <c r="F37" s="47"/>
    </row>
    <row r="38" spans="1:7" s="17" customFormat="1" x14ac:dyDescent="0.25"/>
    <row r="39" spans="1:7" s="17" customFormat="1" x14ac:dyDescent="0.25"/>
    <row r="40" spans="1:7" x14ac:dyDescent="0.25">
      <c r="A40" s="43" t="s">
        <v>100</v>
      </c>
      <c r="B40" s="43"/>
      <c r="C40" s="43"/>
      <c r="D40" s="43"/>
      <c r="E40" s="43"/>
      <c r="F40" s="43"/>
      <c r="G40" s="43"/>
    </row>
    <row r="41" spans="1:7" x14ac:dyDescent="0.25">
      <c r="A41" s="17" t="s">
        <v>85</v>
      </c>
      <c r="B41" s="17"/>
      <c r="C41" s="17"/>
      <c r="D41" s="17"/>
      <c r="E41" s="17"/>
      <c r="F41" s="17"/>
    </row>
    <row r="42" spans="1:7" x14ac:dyDescent="0.25">
      <c r="A42" s="17" t="s">
        <v>86</v>
      </c>
      <c r="B42" s="17"/>
      <c r="C42" s="17" t="s">
        <v>87</v>
      </c>
      <c r="D42" s="17"/>
      <c r="E42" s="17" t="s">
        <v>88</v>
      </c>
      <c r="F42" s="17"/>
    </row>
    <row r="43" spans="1:7" x14ac:dyDescent="0.25">
      <c r="A43" s="17" t="s">
        <v>101</v>
      </c>
      <c r="B43" s="17"/>
      <c r="C43" s="17" t="s">
        <v>12</v>
      </c>
      <c r="D43" s="17"/>
      <c r="E43" s="17" t="s">
        <v>37</v>
      </c>
      <c r="F43" s="17"/>
    </row>
    <row r="46" spans="1:7" x14ac:dyDescent="0.25">
      <c r="A46" s="43" t="s">
        <v>102</v>
      </c>
      <c r="B46" s="43"/>
      <c r="C46" s="43"/>
      <c r="D46" s="43"/>
      <c r="E46" s="43"/>
      <c r="F46" s="43"/>
      <c r="G46" s="43"/>
    </row>
    <row r="47" spans="1:7" x14ac:dyDescent="0.25">
      <c r="A47" s="17" t="s">
        <v>85</v>
      </c>
      <c r="B47" s="17"/>
      <c r="C47" s="17"/>
      <c r="D47" s="17"/>
      <c r="E47" s="17"/>
      <c r="F47" s="17"/>
    </row>
    <row r="48" spans="1:7" x14ac:dyDescent="0.25">
      <c r="A48" s="17" t="s">
        <v>86</v>
      </c>
      <c r="B48" s="17"/>
      <c r="C48" s="17" t="s">
        <v>87</v>
      </c>
      <c r="D48" s="17"/>
      <c r="E48" s="17" t="s">
        <v>88</v>
      </c>
      <c r="F48" s="17"/>
    </row>
    <row r="49" spans="1:12" x14ac:dyDescent="0.25">
      <c r="A49" s="17" t="s">
        <v>103</v>
      </c>
      <c r="B49" s="17"/>
      <c r="C49" s="17" t="s">
        <v>11</v>
      </c>
      <c r="D49" s="17"/>
      <c r="E49" s="17" t="s">
        <v>35</v>
      </c>
      <c r="F49" s="17"/>
    </row>
    <row r="52" spans="1:12" x14ac:dyDescent="0.25">
      <c r="A52" s="17" t="s">
        <v>85</v>
      </c>
      <c r="B52" t="s">
        <v>157</v>
      </c>
    </row>
    <row r="54" spans="1:12" x14ac:dyDescent="0.25">
      <c r="A54" s="50" t="s">
        <v>104</v>
      </c>
    </row>
    <row r="55" spans="1:12" x14ac:dyDescent="0.25">
      <c r="A55" s="50"/>
    </row>
    <row r="56" spans="1:12" x14ac:dyDescent="0.25">
      <c r="A56" t="s">
        <v>112</v>
      </c>
    </row>
    <row r="57" spans="1:12" x14ac:dyDescent="0.25">
      <c r="B57" t="s">
        <v>111</v>
      </c>
    </row>
    <row r="59" spans="1:12" x14ac:dyDescent="0.25">
      <c r="A59" s="51" t="s">
        <v>160</v>
      </c>
      <c r="B59" s="43"/>
      <c r="C59" s="43"/>
      <c r="D59" s="43"/>
      <c r="E59" s="43"/>
      <c r="F59" s="43"/>
      <c r="G59" s="43"/>
      <c r="K59" t="s">
        <v>162</v>
      </c>
    </row>
    <row r="61" spans="1:12" s="88" customFormat="1" ht="22.5" x14ac:dyDescent="0.25">
      <c r="A61" s="85" t="s">
        <v>41</v>
      </c>
      <c r="B61" s="86" t="s">
        <v>109</v>
      </c>
      <c r="C61" s="86" t="s">
        <v>110</v>
      </c>
      <c r="D61" s="86" t="s">
        <v>42</v>
      </c>
      <c r="E61" s="86" t="s">
        <v>43</v>
      </c>
      <c r="F61" s="86" t="s">
        <v>106</v>
      </c>
      <c r="G61" s="86" t="s">
        <v>107</v>
      </c>
      <c r="H61" s="87" t="s">
        <v>156</v>
      </c>
      <c r="I61" s="87" t="s">
        <v>44</v>
      </c>
      <c r="K61" s="89"/>
      <c r="L61" s="88" t="s">
        <v>2</v>
      </c>
    </row>
    <row r="64" spans="1:12" x14ac:dyDescent="0.25">
      <c r="A64" s="51" t="s">
        <v>163</v>
      </c>
      <c r="B64" s="43"/>
      <c r="C64" s="43"/>
      <c r="D64" s="43"/>
      <c r="E64" s="43"/>
      <c r="F64" s="43"/>
      <c r="G64" s="43"/>
      <c r="L64" t="s">
        <v>166</v>
      </c>
    </row>
    <row r="66" spans="1:12" ht="22.5" x14ac:dyDescent="0.25">
      <c r="A66" s="52" t="s">
        <v>41</v>
      </c>
      <c r="B66" s="53" t="s">
        <v>109</v>
      </c>
      <c r="C66" s="53" t="s">
        <v>110</v>
      </c>
      <c r="D66" s="53" t="s">
        <v>42</v>
      </c>
      <c r="E66" s="53" t="s">
        <v>43</v>
      </c>
      <c r="F66" s="53" t="s">
        <v>106</v>
      </c>
      <c r="G66" s="53" t="s">
        <v>107</v>
      </c>
      <c r="H66" s="54" t="s">
        <v>108</v>
      </c>
      <c r="I66" s="54" t="s">
        <v>44</v>
      </c>
      <c r="K66" s="84" t="s">
        <v>159</v>
      </c>
    </row>
    <row r="69" spans="1:12" x14ac:dyDescent="0.25">
      <c r="A69" s="51" t="s">
        <v>105</v>
      </c>
      <c r="B69" s="43"/>
      <c r="C69" s="43"/>
      <c r="D69" s="43"/>
      <c r="E69" s="43"/>
      <c r="F69" s="43"/>
      <c r="G69" s="43"/>
      <c r="L69" t="s">
        <v>164</v>
      </c>
    </row>
    <row r="71" spans="1:12" ht="22.5" x14ac:dyDescent="0.25">
      <c r="A71" s="52" t="s">
        <v>41</v>
      </c>
      <c r="B71" s="53" t="s">
        <v>76</v>
      </c>
      <c r="C71" s="53" t="s">
        <v>42</v>
      </c>
      <c r="D71" s="53" t="s">
        <v>43</v>
      </c>
      <c r="E71" s="53" t="s">
        <v>106</v>
      </c>
      <c r="F71" s="53" t="s">
        <v>107</v>
      </c>
      <c r="G71" s="54" t="s">
        <v>108</v>
      </c>
      <c r="H71" s="54" t="s">
        <v>44</v>
      </c>
      <c r="K71" s="84" t="s">
        <v>158</v>
      </c>
    </row>
    <row r="72" spans="1:12" x14ac:dyDescent="0.25">
      <c r="A72" s="84"/>
      <c r="B72" s="84"/>
      <c r="C72" s="84"/>
      <c r="D72" s="84"/>
      <c r="E72" s="84"/>
      <c r="F72" s="84"/>
      <c r="G72" s="84"/>
      <c r="H72" s="84"/>
      <c r="K72" s="84"/>
    </row>
    <row r="74" spans="1:12" x14ac:dyDescent="0.25">
      <c r="A74" s="51" t="s">
        <v>161</v>
      </c>
      <c r="B74" s="43"/>
      <c r="C74" s="43"/>
      <c r="D74" s="43"/>
      <c r="E74" s="43"/>
      <c r="F74" s="43"/>
      <c r="G74" s="43"/>
      <c r="L74" s="88" t="s">
        <v>165</v>
      </c>
    </row>
    <row r="76" spans="1:12" s="88" customFormat="1" ht="22.5" x14ac:dyDescent="0.25">
      <c r="A76" s="85" t="s">
        <v>41</v>
      </c>
      <c r="B76" s="86" t="s">
        <v>109</v>
      </c>
      <c r="C76" s="86" t="s">
        <v>110</v>
      </c>
      <c r="D76" s="86" t="s">
        <v>42</v>
      </c>
      <c r="E76" s="86" t="s">
        <v>43</v>
      </c>
      <c r="F76" s="87" t="s">
        <v>108</v>
      </c>
      <c r="G76" s="87" t="s">
        <v>44</v>
      </c>
      <c r="K76" s="89"/>
    </row>
    <row r="78" spans="1:12" x14ac:dyDescent="0.25">
      <c r="A78" s="51" t="s">
        <v>172</v>
      </c>
    </row>
    <row r="79" spans="1:12" ht="75" x14ac:dyDescent="0.25">
      <c r="A79" s="90" t="s">
        <v>41</v>
      </c>
      <c r="B79" s="59" t="s">
        <v>174</v>
      </c>
      <c r="C79" s="59" t="s">
        <v>42</v>
      </c>
      <c r="D79" s="59" t="s">
        <v>43</v>
      </c>
      <c r="E79" s="59" t="s">
        <v>168</v>
      </c>
      <c r="F79" s="59" t="s">
        <v>169</v>
      </c>
      <c r="G79" s="59" t="s">
        <v>173</v>
      </c>
      <c r="H79" s="59" t="s">
        <v>179</v>
      </c>
    </row>
    <row r="83" spans="1:2" x14ac:dyDescent="0.25">
      <c r="A83" s="50" t="s">
        <v>77</v>
      </c>
    </row>
    <row r="85" spans="1:2" x14ac:dyDescent="0.25">
      <c r="B85" t="s">
        <v>78</v>
      </c>
    </row>
    <row r="88" spans="1:2" x14ac:dyDescent="0.25">
      <c r="A88" s="50" t="s">
        <v>79</v>
      </c>
    </row>
    <row r="90" spans="1:2" x14ac:dyDescent="0.25">
      <c r="B90" s="55" t="s">
        <v>80</v>
      </c>
    </row>
    <row r="91" spans="1:2" x14ac:dyDescent="0.25">
      <c r="B91" t="s">
        <v>120</v>
      </c>
    </row>
    <row r="92" spans="1:2" x14ac:dyDescent="0.25">
      <c r="B92" t="s">
        <v>121</v>
      </c>
    </row>
    <row r="93" spans="1:2" x14ac:dyDescent="0.25">
      <c r="B93" t="s">
        <v>122</v>
      </c>
    </row>
    <row r="94" spans="1:2" x14ac:dyDescent="0.25">
      <c r="B94" t="s">
        <v>123</v>
      </c>
    </row>
    <row r="96" spans="1:2" x14ac:dyDescent="0.25">
      <c r="B96" t="s">
        <v>170</v>
      </c>
    </row>
    <row r="98" spans="1:7" x14ac:dyDescent="0.25">
      <c r="B98" t="s">
        <v>124</v>
      </c>
    </row>
    <row r="100" spans="1:7" x14ac:dyDescent="0.25">
      <c r="A100" s="50" t="s">
        <v>81</v>
      </c>
    </row>
    <row r="102" spans="1:7" x14ac:dyDescent="0.25">
      <c r="B102" t="s">
        <v>82</v>
      </c>
    </row>
    <row r="103" spans="1:7" x14ac:dyDescent="0.25">
      <c r="B103" s="42" t="s">
        <v>125</v>
      </c>
    </row>
    <row r="105" spans="1:7" x14ac:dyDescent="0.25">
      <c r="A105" s="50" t="s">
        <v>132</v>
      </c>
    </row>
    <row r="107" spans="1:7" ht="83.25" customHeight="1" x14ac:dyDescent="0.25">
      <c r="B107" s="117" t="s">
        <v>142</v>
      </c>
      <c r="C107" s="117"/>
      <c r="D107" s="117"/>
      <c r="E107" s="117"/>
      <c r="F107" s="117"/>
      <c r="G107" s="117"/>
    </row>
    <row r="109" spans="1:7" x14ac:dyDescent="0.25">
      <c r="A109" s="50" t="s">
        <v>127</v>
      </c>
    </row>
    <row r="110" spans="1:7" ht="56.25" customHeight="1" x14ac:dyDescent="0.25">
      <c r="B110" s="116" t="s">
        <v>133</v>
      </c>
      <c r="C110" s="116"/>
      <c r="D110" s="116"/>
      <c r="E110" s="116"/>
      <c r="F110" s="116"/>
      <c r="G110" s="116"/>
    </row>
    <row r="112" spans="1:7" x14ac:dyDescent="0.25">
      <c r="B112" t="s">
        <v>128</v>
      </c>
    </row>
    <row r="114" spans="2:7" x14ac:dyDescent="0.25">
      <c r="B114" t="s">
        <v>134</v>
      </c>
    </row>
    <row r="115" spans="2:7" ht="45" customHeight="1" x14ac:dyDescent="0.25">
      <c r="B115" s="116" t="s">
        <v>135</v>
      </c>
      <c r="C115" s="116"/>
      <c r="D115" s="116"/>
      <c r="E115" s="116"/>
      <c r="F115" s="116"/>
      <c r="G115" s="116"/>
    </row>
    <row r="117" spans="2:7" x14ac:dyDescent="0.25">
      <c r="B117" t="s">
        <v>129</v>
      </c>
    </row>
    <row r="118" spans="2:7" ht="72.75" customHeight="1" x14ac:dyDescent="0.25">
      <c r="B118" s="117" t="s">
        <v>136</v>
      </c>
      <c r="C118" s="117"/>
      <c r="D118" s="117"/>
      <c r="E118" s="117"/>
      <c r="F118" s="117"/>
      <c r="G118" s="117"/>
    </row>
    <row r="120" spans="2:7" x14ac:dyDescent="0.25">
      <c r="B120" t="s">
        <v>130</v>
      </c>
    </row>
    <row r="121" spans="2:7" ht="22.5" customHeight="1" x14ac:dyDescent="0.25">
      <c r="B121" t="s">
        <v>137</v>
      </c>
    </row>
    <row r="123" spans="2:7" x14ac:dyDescent="0.25">
      <c r="B123" t="s">
        <v>131</v>
      </c>
    </row>
    <row r="124" spans="2:7" ht="53.25" customHeight="1" x14ac:dyDescent="0.25">
      <c r="B124" s="116" t="s">
        <v>138</v>
      </c>
      <c r="C124" s="116"/>
      <c r="D124" s="116"/>
      <c r="E124" s="116"/>
      <c r="F124" s="116"/>
      <c r="G124" s="116"/>
    </row>
    <row r="125" spans="2:7" ht="38.25" customHeight="1" x14ac:dyDescent="0.25">
      <c r="B125" s="116" t="s">
        <v>139</v>
      </c>
      <c r="C125" s="116"/>
      <c r="D125" s="116"/>
      <c r="E125" s="116"/>
      <c r="F125" s="116"/>
      <c r="G125" s="116"/>
    </row>
    <row r="126" spans="2:7" ht="43.5" customHeight="1" x14ac:dyDescent="0.25">
      <c r="B126" s="116" t="s">
        <v>140</v>
      </c>
      <c r="C126" s="116"/>
      <c r="D126" s="116"/>
      <c r="E126" s="116"/>
      <c r="F126" s="116"/>
      <c r="G126" s="116"/>
    </row>
    <row r="128" spans="2:7" x14ac:dyDescent="0.25">
      <c r="B128" t="s">
        <v>141</v>
      </c>
    </row>
    <row r="130" spans="1:2" x14ac:dyDescent="0.25">
      <c r="A130" s="50" t="s">
        <v>143</v>
      </c>
    </row>
    <row r="131" spans="1:2" x14ac:dyDescent="0.25">
      <c r="B131" t="s">
        <v>144</v>
      </c>
    </row>
    <row r="132" spans="1:2" x14ac:dyDescent="0.25">
      <c r="B132" s="42" t="s">
        <v>145</v>
      </c>
    </row>
    <row r="133" spans="1:2" x14ac:dyDescent="0.25">
      <c r="B133" s="42" t="s">
        <v>171</v>
      </c>
    </row>
    <row r="134" spans="1:2" x14ac:dyDescent="0.25">
      <c r="B134" s="42" t="s">
        <v>146</v>
      </c>
    </row>
    <row r="136" spans="1:2" x14ac:dyDescent="0.25">
      <c r="A136" s="50" t="s">
        <v>147</v>
      </c>
    </row>
    <row r="137" spans="1:2" x14ac:dyDescent="0.25">
      <c r="B137" t="s">
        <v>144</v>
      </c>
    </row>
    <row r="138" spans="1:2" x14ac:dyDescent="0.25">
      <c r="B138" s="42" t="s">
        <v>145</v>
      </c>
    </row>
    <row r="139" spans="1:2" x14ac:dyDescent="0.25">
      <c r="B139" s="42" t="s">
        <v>171</v>
      </c>
    </row>
    <row r="144" spans="1:2" x14ac:dyDescent="0.25">
      <c r="A144" s="50" t="s">
        <v>115</v>
      </c>
    </row>
    <row r="146" spans="1:7" x14ac:dyDescent="0.25">
      <c r="A146" s="43" t="s">
        <v>114</v>
      </c>
      <c r="B146" s="43"/>
      <c r="C146" s="43"/>
      <c r="D146" s="43"/>
      <c r="E146" s="43"/>
      <c r="F146" s="43"/>
      <c r="G146" s="43"/>
    </row>
    <row r="148" spans="1:7" x14ac:dyDescent="0.25">
      <c r="A148" s="57" t="s">
        <v>68</v>
      </c>
      <c r="B148" s="57" t="s">
        <v>69</v>
      </c>
      <c r="C148" s="57" t="s">
        <v>70</v>
      </c>
      <c r="D148" s="57" t="s">
        <v>71</v>
      </c>
      <c r="E148" s="57" t="s">
        <v>72</v>
      </c>
      <c r="F148" s="58" t="s">
        <v>73</v>
      </c>
    </row>
    <row r="151" spans="1:7" x14ac:dyDescent="0.25">
      <c r="A151" s="50" t="s">
        <v>117</v>
      </c>
    </row>
    <row r="153" spans="1:7" x14ac:dyDescent="0.25">
      <c r="B153" t="s">
        <v>118</v>
      </c>
    </row>
    <row r="154" spans="1:7" x14ac:dyDescent="0.25">
      <c r="B154" t="s">
        <v>119</v>
      </c>
    </row>
  </sheetData>
  <mergeCells count="7">
    <mergeCell ref="B126:G126"/>
    <mergeCell ref="B107:G107"/>
    <mergeCell ref="B110:G110"/>
    <mergeCell ref="B115:G115"/>
    <mergeCell ref="B118:G118"/>
    <mergeCell ref="B124:G124"/>
    <mergeCell ref="B125:G125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4"/>
  <sheetViews>
    <sheetView topLeftCell="B1" workbookViewId="0">
      <selection sqref="A1:H20"/>
    </sheetView>
  </sheetViews>
  <sheetFormatPr baseColWidth="10" defaultRowHeight="15" x14ac:dyDescent="0.25"/>
  <cols>
    <col min="1" max="1" width="117.85546875" customWidth="1"/>
    <col min="3" max="3" width="18.42578125" customWidth="1"/>
    <col min="4" max="4" width="14.85546875" customWidth="1"/>
  </cols>
  <sheetData>
    <row r="1" spans="1:8" x14ac:dyDescent="0.25">
      <c r="A1" t="s">
        <v>198</v>
      </c>
      <c r="B1" t="s">
        <v>20</v>
      </c>
      <c r="C1" t="s">
        <v>190</v>
      </c>
      <c r="D1" t="s">
        <v>195</v>
      </c>
      <c r="E1">
        <v>27</v>
      </c>
      <c r="F1" t="s">
        <v>23</v>
      </c>
      <c r="G1" t="s">
        <v>192</v>
      </c>
      <c r="H1" t="s">
        <v>193</v>
      </c>
    </row>
    <row r="2" spans="1:8" x14ac:dyDescent="0.25">
      <c r="A2" t="s">
        <v>199</v>
      </c>
      <c r="B2" t="s">
        <v>20</v>
      </c>
      <c r="C2" t="s">
        <v>190</v>
      </c>
      <c r="D2" t="s">
        <v>195</v>
      </c>
      <c r="E2">
        <v>28</v>
      </c>
      <c r="F2" t="s">
        <v>23</v>
      </c>
      <c r="G2" t="s">
        <v>194</v>
      </c>
      <c r="H2" t="s">
        <v>193</v>
      </c>
    </row>
    <row r="3" spans="1:8" x14ac:dyDescent="0.25">
      <c r="A3" t="s">
        <v>196</v>
      </c>
      <c r="B3" t="s">
        <v>20</v>
      </c>
      <c r="C3" t="s">
        <v>190</v>
      </c>
      <c r="D3" t="s">
        <v>191</v>
      </c>
      <c r="E3">
        <v>25</v>
      </c>
      <c r="F3" t="s">
        <v>23</v>
      </c>
      <c r="G3" t="s">
        <v>192</v>
      </c>
      <c r="H3" t="s">
        <v>193</v>
      </c>
    </row>
    <row r="4" spans="1:8" x14ac:dyDescent="0.25">
      <c r="A4" t="s">
        <v>197</v>
      </c>
      <c r="B4" t="s">
        <v>20</v>
      </c>
      <c r="C4" t="s">
        <v>190</v>
      </c>
      <c r="D4" t="s">
        <v>191</v>
      </c>
      <c r="E4">
        <v>26</v>
      </c>
      <c r="F4" t="s">
        <v>23</v>
      </c>
      <c r="G4" t="s">
        <v>194</v>
      </c>
      <c r="H4" t="s">
        <v>193</v>
      </c>
    </row>
  </sheetData>
  <sortState ref="A1:H20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11</vt:i4>
      </vt:variant>
    </vt:vector>
  </HeadingPairs>
  <TitlesOfParts>
    <vt:vector size="16" baseType="lpstr">
      <vt:lpstr>Formulaire</vt:lpstr>
      <vt:lpstr>PARAM</vt:lpstr>
      <vt:lpstr>Traitement2</vt:lpstr>
      <vt:lpstr>Aide-FAQ</vt:lpstr>
      <vt:lpstr>TempDMF</vt:lpstr>
      <vt:lpstr>Format_Date</vt:lpstr>
      <vt:lpstr>Format_IP</vt:lpstr>
      <vt:lpstr>Format_Tel</vt:lpstr>
      <vt:lpstr>HauteurLigneCadre2</vt:lpstr>
      <vt:lpstr>LargeurColonneK</vt:lpstr>
      <vt:lpstr>Obligatoire</vt:lpstr>
      <vt:lpstr>Separateurs</vt:lpstr>
      <vt:lpstr>StatutV1</vt:lpstr>
      <vt:lpstr>StatutV2</vt:lpstr>
      <vt:lpstr>TypCD2</vt:lpstr>
      <vt:lpstr>Type_Flux</vt:lpstr>
    </vt:vector>
  </TitlesOfParts>
  <Company>Groupe OPEN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HERIVEAUX MICHEL</dc:creator>
  <cp:lastModifiedBy>GERAUT Dorian</cp:lastModifiedBy>
  <cp:lastPrinted>2016-02-17T15:51:28Z</cp:lastPrinted>
  <dcterms:created xsi:type="dcterms:W3CDTF">2016-02-15T11:24:13Z</dcterms:created>
  <dcterms:modified xsi:type="dcterms:W3CDTF">2018-10-23T09:34:23Z</dcterms:modified>
</cp:coreProperties>
</file>